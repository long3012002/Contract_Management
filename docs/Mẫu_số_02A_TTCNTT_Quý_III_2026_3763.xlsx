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dqa7\Documents\CoopBank_Project\Contract_Management\docs\"/>
    </mc:Choice>
  </mc:AlternateContent>
  <xr:revisionPtr revIDLastSave="0" documentId="13_ncr:1_{D9C6FE1A-ACBF-4C94-9828-1BECB548788D}" xr6:coauthVersionLast="47" xr6:coauthVersionMax="47" xr10:uidLastSave="{00000000-0000-0000-0000-000000000000}"/>
  <bookViews>
    <workbookView xWindow="-120" yWindow="-120" windowWidth="29040" windowHeight="15720" activeTab="1" xr2:uid="{00000000-000D-0000-FFFF-FFFF00000000}"/>
  </bookViews>
  <sheets>
    <sheet name="Trước kỳ" sheetId="2" r:id="rId1"/>
    <sheet name="Trong kỳ báo cáo" sheetId="4"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1" i="2" l="1"/>
  <c r="M31" i="2"/>
  <c r="P19" i="2"/>
  <c r="M19" i="2"/>
  <c r="R19" i="2" l="1"/>
  <c r="O19" i="2"/>
  <c r="R31" i="2"/>
  <c r="O31" i="2"/>
  <c r="R30" i="2"/>
  <c r="O30" i="2"/>
  <c r="R29" i="2"/>
  <c r="O29" i="2"/>
  <c r="R28" i="2"/>
  <c r="O28" i="2"/>
  <c r="R27" i="2"/>
  <c r="O27" i="2"/>
  <c r="R26" i="2"/>
  <c r="O26" i="2"/>
  <c r="S31" i="4" l="1"/>
  <c r="P31" i="4"/>
  <c r="M31" i="4"/>
  <c r="D31" i="4"/>
  <c r="Q31" i="4"/>
  <c r="N31" i="4"/>
  <c r="E31" i="4"/>
  <c r="S22" i="4"/>
  <c r="R22" i="4"/>
  <c r="Q22" i="4"/>
  <c r="P22" i="4"/>
  <c r="N22" i="4"/>
  <c r="M22" i="4"/>
  <c r="L22" i="4"/>
  <c r="L32" i="4" s="1"/>
  <c r="K22" i="4"/>
  <c r="K32" i="4" s="1"/>
  <c r="J22" i="4"/>
  <c r="J32" i="4" s="1"/>
  <c r="I22" i="4"/>
  <c r="I32" i="4" s="1"/>
  <c r="H22" i="4"/>
  <c r="H32" i="4" s="1"/>
  <c r="G22" i="4"/>
  <c r="G32" i="4" s="1"/>
  <c r="F22" i="4"/>
  <c r="F32" i="4" s="1"/>
  <c r="E22" i="4"/>
  <c r="D22" i="4"/>
  <c r="O22" i="4"/>
  <c r="S32" i="4" l="1"/>
  <c r="M32" i="4"/>
  <c r="P32" i="4"/>
  <c r="N32" i="4"/>
  <c r="Q32" i="4"/>
  <c r="D32" i="4"/>
  <c r="E32" i="4"/>
  <c r="O31" i="4"/>
  <c r="O32" i="4" s="1"/>
  <c r="R31" i="4"/>
  <c r="R32" i="4" s="1"/>
  <c r="S22" i="2"/>
  <c r="Q22" i="2"/>
  <c r="P22" i="2"/>
  <c r="N22" i="2"/>
  <c r="M22" i="2"/>
  <c r="L22" i="2"/>
  <c r="L36" i="2" s="1"/>
  <c r="K22" i="2"/>
  <c r="K36" i="2" s="1"/>
  <c r="J22" i="2"/>
  <c r="J36" i="2" s="1"/>
  <c r="I36" i="2"/>
  <c r="H22" i="2"/>
  <c r="H36" i="2" s="1"/>
  <c r="G22" i="2"/>
  <c r="G36" i="2" s="1"/>
  <c r="F22" i="2"/>
  <c r="F36" i="2" s="1"/>
  <c r="E22" i="2"/>
  <c r="D22" i="2"/>
  <c r="O22" i="2" l="1"/>
  <c r="R22" i="2" l="1"/>
  <c r="E35" i="2" l="1"/>
  <c r="E36" i="2" s="1"/>
  <c r="D35" i="2"/>
  <c r="D36" i="2" s="1"/>
  <c r="S35" i="2" l="1"/>
  <c r="S36" i="2" s="1"/>
  <c r="Q35" i="2"/>
  <c r="Q36" i="2" s="1"/>
  <c r="P35" i="2"/>
  <c r="P36" i="2" s="1"/>
  <c r="N35" i="2"/>
  <c r="N36" i="2" s="1"/>
  <c r="M35" i="2"/>
  <c r="M36" i="2" s="1"/>
  <c r="R35" i="2"/>
  <c r="R36" i="2" s="1"/>
  <c r="O35" i="2"/>
  <c r="O36" i="2" s="1"/>
</calcChain>
</file>

<file path=xl/sharedStrings.xml><?xml version="1.0" encoding="utf-8"?>
<sst xmlns="http://schemas.openxmlformats.org/spreadsheetml/2006/main" count="183" uniqueCount="86">
  <si>
    <t>NGÂN HÀNG HỢP TÁC XÃ VIỆT NAM</t>
  </si>
  <si>
    <t>Biểu số 02.A</t>
  </si>
  <si>
    <t xml:space="preserve">TÌNH HÌNH ĐẦU TƯ VÀ HUY ĐỘNG VỐN ĐỂ ĐẦU TƯ VÀO CÁC DỰ ÁN </t>
  </si>
  <si>
    <t>HÌNH THÀNH TSCĐ VÀ XDCB</t>
  </si>
  <si>
    <t>(Ban hành kèm theo Thông tư số 200/2015/TT-BTC ngày 15/12/2015 của Bộ Tài chính)</t>
  </si>
  <si>
    <t>TT</t>
  </si>
  <si>
    <t>Tên dự án</t>
  </si>
  <si>
    <t>Quyết định phê duyệt</t>
  </si>
  <si>
    <t>Tổng mức vốn đầu tư</t>
  </si>
  <si>
    <t>Thời gian đầu tư theo kế hoạch</t>
  </si>
  <si>
    <t>Nguồn vốn huy động</t>
  </si>
  <si>
    <t>Tổng</t>
  </si>
  <si>
    <t>Vốn chủ sở hữu</t>
  </si>
  <si>
    <t>%</t>
  </si>
  <si>
    <t>Vốn huy động</t>
  </si>
  <si>
    <t>Tổng số</t>
  </si>
  <si>
    <t>Thời hạn vay</t>
  </si>
  <si>
    <t>Lãi suất (%)</t>
  </si>
  <si>
    <t>Kỳ trước chuyển sang</t>
  </si>
  <si>
    <t>Thực hiện trong kỳ</t>
  </si>
  <si>
    <t>Giá trị tài sản đã hình thành và đưa vào sử dụng</t>
  </si>
  <si>
    <t>A</t>
  </si>
  <si>
    <t>Các dự án nhóm A</t>
  </si>
  <si>
    <t>(Không có)</t>
  </si>
  <si>
    <t>B</t>
  </si>
  <si>
    <t>Các dự án nhóm B</t>
  </si>
  <si>
    <t>I</t>
  </si>
  <si>
    <t>Dự án đầu tư xây dựng</t>
  </si>
  <si>
    <t>II</t>
  </si>
  <si>
    <t>Dự án công nghệ thông tin</t>
  </si>
  <si>
    <t>III</t>
  </si>
  <si>
    <t>Dự án khác</t>
  </si>
  <si>
    <t>Tổng (B)</t>
  </si>
  <si>
    <t>C</t>
  </si>
  <si>
    <t>Tổng (C)</t>
  </si>
  <si>
    <t>Tổng (A+B+C)</t>
  </si>
  <si>
    <t>(1)</t>
  </si>
  <si>
    <t>(2)</t>
  </si>
  <si>
    <t>(3)</t>
  </si>
  <si>
    <t>(4)</t>
  </si>
  <si>
    <t>(5)</t>
  </si>
  <si>
    <t>(6)</t>
  </si>
  <si>
    <t>(7)</t>
  </si>
  <si>
    <t>(8)</t>
  </si>
  <si>
    <t>(9)</t>
  </si>
  <si>
    <t>(10)</t>
  </si>
  <si>
    <t>(11)</t>
  </si>
  <si>
    <t>(12)</t>
  </si>
  <si>
    <t>(13)</t>
  </si>
  <si>
    <t>(14)</t>
  </si>
  <si>
    <t>(15)</t>
  </si>
  <si>
    <t>(16)</t>
  </si>
  <si>
    <t>(17)</t>
  </si>
  <si>
    <t>(18)</t>
  </si>
  <si>
    <t>(19)</t>
  </si>
  <si>
    <t>Các dự án khác</t>
  </si>
  <si>
    <t>Triển khai xây dựng hệ thống dự phòng thảm họa tại NHHT</t>
  </si>
  <si>
    <t>TRUNG TÂM CÔNG NGHỆ THÔNG TIN</t>
  </si>
  <si>
    <t>Số: 452/QĐ-NHHT ngày 12/08/2024 vv Phê duyệt Báo cáo nghiên cứu khả thi</t>
  </si>
  <si>
    <t>Xây dựng hệ thống đào tạo trực tuyến E- learning của Ngân hàng Hợp tác</t>
  </si>
  <si>
    <t>Thay thế hệ thống mạng và bảo mật tại Trụ sở chính NHHT</t>
  </si>
  <si>
    <t>Triển khai xây dựng kho dữ liệu tập trung, tổ chức hệ thống dữ liệu và xây dựng một số báo cáo thông minh hỗ trợ công tác kinh doanh, quản trị điều hành</t>
  </si>
  <si>
    <t>Triển khai giải pháp quản trị tín dụng tập trung tại Ngân hàng Hợp tác</t>
  </si>
  <si>
    <t>793/QĐ-NHHT ngày 19/12/2025 v/v Phê duyệt báo cáo KTKT</t>
  </si>
  <si>
    <t>481/QĐ-NHHT ngày 15/10/2025 v/v Phê duyệt dự toán - dự án Xây dựng hệ thống đào tạo trực tuyến E- learning của Ngân hàng Hợp tác</t>
  </si>
  <si>
    <t>378/QĐ-NHHT ngày 18/08/2025 v/v Phê duyệt dự toán Thay thế hệ thống mạng và bảo mật tại Trụ sở chính NHHT</t>
  </si>
  <si>
    <t>410/QĐ-NHHT ngày 08/9/2025 v/v Phê duyệt dự toán Triển khai xây dựng kho dữ liệu tập trung, tổ chức hệ thống dữ liệu và xây dựng một số báo cáo thông minh hỗ trợ công tác kinh doanh, quản trị điều hành</t>
  </si>
  <si>
    <t>Xây dựng webste mới Co-opBank</t>
  </si>
  <si>
    <t>97/QĐ-NHHT ngày 06/02/2026 v/vphê duyệt dự toán Dự án: Xây dựng website mới Co-opBank</t>
  </si>
  <si>
    <t>Mua sắm hệ thống sao lưu và phục hồi dữ liệu</t>
  </si>
  <si>
    <t>140/QĐ-NHHT ngày 
03/03/2026 V/v phê duyệt dự toán dự án mua sắm hệ thống sao lưu và phục hồi dữ liệu</t>
  </si>
  <si>
    <t>2025-2027</t>
  </si>
  <si>
    <t>12 tháng</t>
  </si>
  <si>
    <t>14 tháng</t>
  </si>
  <si>
    <t>8 tháng</t>
  </si>
  <si>
    <t>270 ngày</t>
  </si>
  <si>
    <t xml:space="preserve">                     Đơn vị tính: Tỷ đồng</t>
  </si>
  <si>
    <t>PHAN THÙY CHI</t>
  </si>
  <si>
    <t>( Trước kỳ báo cáo Quý III năm 2026)</t>
  </si>
  <si>
    <t>Giá trị khối lượng thực hiện đến ngày 30/09/2026</t>
  </si>
  <si>
    <t>PHÓ GIÁM ĐỐC</t>
  </si>
  <si>
    <t>PHAN THÁI ĐỨC</t>
  </si>
  <si>
    <t>( Trong kỳ báo cáo Quý III năm 2026)</t>
  </si>
  <si>
    <t>Giải ngân đến ngày 30/09/2026</t>
  </si>
  <si>
    <t>Thực hiện đến hết ngày 30/09/2026</t>
  </si>
  <si>
    <t>LẬP BẢNG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</si>
</sst>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10"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sz val="12"/>
      <name val="Times New Roman"/>
      <family val="1"/>
    </font>
    <font>
      <sz val="14"/>
      <name val="Times New Roman"/>
      <family val="1"/>
    </font>
    <font>
      <b/>
      <sz val="12"/>
      <name val="Times New Roman"/>
      <family val="1"/>
    </font>
    <font>
      <b/>
      <sz val="14"/>
      <name val="Times New Roman"/>
      <family val="1"/>
    </font>
    <font>
      <i/>
      <sz val="13"/>
      <name val="Times New Roman"/>
      <family val="1"/>
    </font>
    <font>
      <b/>
      <sz val="14"/>
      <color theme="1"/>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06">
    <xf numFmtId="0" fontId="0" fillId="0" borderId="0" xfId="0"/>
    <xf numFmtId="0" fontId="3" fillId="0" borderId="0" xfId="0" applyFont="1" applyAlignment="1">
      <alignment wrapText="1"/>
    </xf>
    <xf numFmtId="4" fontId="4" fillId="0" borderId="0" xfId="0" applyNumberFormat="1" applyFont="1" applyAlignment="1">
      <alignment wrapText="1"/>
    </xf>
    <xf numFmtId="3" fontId="4" fillId="0" borderId="0" xfId="0" applyNumberFormat="1" applyFont="1" applyAlignment="1">
      <alignment wrapText="1"/>
    </xf>
    <xf numFmtId="0" fontId="4" fillId="0" borderId="0" xfId="0" applyFont="1" applyAlignment="1">
      <alignment wrapText="1"/>
    </xf>
    <xf numFmtId="0" fontId="4" fillId="0" borderId="0" xfId="0" applyFont="1"/>
    <xf numFmtId="0" fontId="5" fillId="0" borderId="0" xfId="0" applyFont="1"/>
    <xf numFmtId="2" fontId="4" fillId="0" borderId="0" xfId="0" applyNumberFormat="1" applyFont="1" applyAlignment="1">
      <alignment wrapText="1"/>
    </xf>
    <xf numFmtId="4" fontId="6" fillId="0" borderId="2"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2" fontId="6" fillId="0" borderId="3" xfId="0" applyNumberFormat="1" applyFont="1" applyBorder="1" applyAlignment="1">
      <alignment wrapText="1"/>
    </xf>
    <xf numFmtId="4" fontId="4" fillId="0" borderId="2" xfId="0" applyNumberFormat="1" applyFont="1" applyBorder="1" applyAlignment="1">
      <alignment wrapText="1"/>
    </xf>
    <xf numFmtId="3" fontId="4" fillId="0" borderId="2" xfId="0" applyNumberFormat="1" applyFont="1" applyBorder="1" applyAlignment="1">
      <alignment wrapText="1"/>
    </xf>
    <xf numFmtId="0" fontId="4" fillId="0" borderId="2" xfId="0" applyFont="1" applyBorder="1" applyAlignment="1">
      <alignment wrapText="1"/>
    </xf>
    <xf numFmtId="2" fontId="4" fillId="0" borderId="3" xfId="0" applyNumberFormat="1" applyFont="1" applyBorder="1" applyAlignment="1">
      <alignment wrapText="1"/>
    </xf>
    <xf numFmtId="2" fontId="4" fillId="0" borderId="3" xfId="0" applyNumberFormat="1" applyFont="1" applyBorder="1" applyAlignment="1">
      <alignment vertical="top" wrapText="1"/>
    </xf>
    <xf numFmtId="4" fontId="4" fillId="0" borderId="2" xfId="0" applyNumberFormat="1" applyFont="1" applyBorder="1" applyAlignment="1">
      <alignment vertical="top" wrapText="1"/>
    </xf>
    <xf numFmtId="3" fontId="4" fillId="0" borderId="2" xfId="0" applyNumberFormat="1" applyFont="1" applyBorder="1" applyAlignment="1">
      <alignment vertical="top" wrapText="1"/>
    </xf>
    <xf numFmtId="0" fontId="4" fillId="0" borderId="0" xfId="0" applyFont="1" applyAlignment="1">
      <alignment vertical="top" wrapText="1"/>
    </xf>
    <xf numFmtId="0" fontId="4" fillId="0" borderId="0" xfId="0" applyFont="1" applyAlignment="1">
      <alignment vertical="top"/>
    </xf>
    <xf numFmtId="0" fontId="4" fillId="0" borderId="2" xfId="0" applyFont="1" applyBorder="1" applyAlignment="1">
      <alignment horizontal="center" vertical="center" wrapText="1"/>
    </xf>
    <xf numFmtId="4" fontId="4" fillId="0" borderId="2" xfId="0" applyNumberFormat="1" applyFont="1" applyBorder="1" applyAlignment="1">
      <alignment horizontal="right" vertical="center" wrapText="1"/>
    </xf>
    <xf numFmtId="3" fontId="4" fillId="0" borderId="2"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2" fontId="6" fillId="0" borderId="3" xfId="0" applyNumberFormat="1" applyFont="1" applyBorder="1" applyAlignment="1">
      <alignment horizontal="center" vertical="top" wrapText="1"/>
    </xf>
    <xf numFmtId="0" fontId="6" fillId="0" borderId="0" xfId="0" applyFont="1" applyAlignment="1">
      <alignment vertical="top" wrapText="1"/>
    </xf>
    <xf numFmtId="0" fontId="6" fillId="0" borderId="0" xfId="0" applyFont="1" applyAlignment="1">
      <alignment vertical="top"/>
    </xf>
    <xf numFmtId="2" fontId="6" fillId="0" borderId="3" xfId="0" applyNumberFormat="1" applyFont="1" applyBorder="1" applyAlignment="1">
      <alignment vertical="center" wrapText="1"/>
    </xf>
    <xf numFmtId="3" fontId="4" fillId="0" borderId="2" xfId="0" applyNumberFormat="1" applyFont="1" applyBorder="1" applyAlignment="1">
      <alignment vertical="center" wrapText="1"/>
    </xf>
    <xf numFmtId="0" fontId="4" fillId="0" borderId="2" xfId="0" applyFont="1" applyBorder="1" applyAlignment="1">
      <alignment vertical="center" wrapText="1"/>
    </xf>
    <xf numFmtId="0" fontId="2" fillId="0" borderId="2" xfId="0" applyFont="1" applyBorder="1" applyAlignment="1">
      <alignment horizontal="center" vertical="center" wrapText="1"/>
    </xf>
    <xf numFmtId="2" fontId="2" fillId="0" borderId="3" xfId="0" applyNumberFormat="1" applyFont="1" applyBorder="1" applyAlignment="1">
      <alignment vertical="center" wrapText="1"/>
    </xf>
    <xf numFmtId="3" fontId="3" fillId="0" borderId="2" xfId="0" applyNumberFormat="1" applyFont="1" applyBorder="1" applyAlignment="1">
      <alignment horizontal="right" vertical="center" wrapText="1"/>
    </xf>
    <xf numFmtId="3" fontId="3" fillId="0" borderId="2" xfId="0" applyNumberFormat="1" applyFont="1" applyBorder="1" applyAlignment="1">
      <alignment horizontal="center" vertical="center" wrapText="1"/>
    </xf>
    <xf numFmtId="0" fontId="3" fillId="0" borderId="2" xfId="0" applyFont="1" applyBorder="1" applyAlignment="1">
      <alignment wrapText="1"/>
    </xf>
    <xf numFmtId="0" fontId="3" fillId="0" borderId="2" xfId="0" applyFont="1" applyBorder="1" applyAlignment="1">
      <alignment vertical="center" wrapText="1"/>
    </xf>
    <xf numFmtId="3" fontId="3" fillId="0" borderId="2" xfId="0" applyNumberFormat="1" applyFont="1" applyBorder="1" applyAlignment="1">
      <alignment vertical="center" wrapText="1"/>
    </xf>
    <xf numFmtId="0" fontId="3" fillId="0" borderId="0" xfId="0" applyFont="1"/>
    <xf numFmtId="0" fontId="3" fillId="0" borderId="2" xfId="0" applyFont="1" applyBorder="1" applyAlignment="1">
      <alignment horizontal="center" vertical="center" wrapText="1"/>
    </xf>
    <xf numFmtId="2" fontId="3" fillId="0" borderId="3" xfId="0" applyNumberFormat="1" applyFont="1" applyBorder="1" applyAlignment="1">
      <alignment vertical="center" wrapText="1"/>
    </xf>
    <xf numFmtId="2" fontId="6" fillId="0" borderId="2" xfId="0" applyNumberFormat="1" applyFont="1" applyBorder="1" applyAlignment="1">
      <alignment horizontal="center" wrapText="1"/>
    </xf>
    <xf numFmtId="3" fontId="6" fillId="0" borderId="2" xfId="0" applyNumberFormat="1" applyFont="1" applyBorder="1" applyAlignment="1">
      <alignment vertical="center" wrapText="1"/>
    </xf>
    <xf numFmtId="0" fontId="6" fillId="0" borderId="0" xfId="0" applyFont="1" applyAlignment="1">
      <alignment wrapText="1"/>
    </xf>
    <xf numFmtId="0" fontId="6" fillId="0" borderId="0" xfId="0" applyFont="1"/>
    <xf numFmtId="2" fontId="6" fillId="0" borderId="0" xfId="0" applyNumberFormat="1" applyFont="1" applyAlignment="1">
      <alignment horizontal="center" wrapText="1"/>
    </xf>
    <xf numFmtId="165" fontId="6" fillId="0" borderId="0" xfId="0" applyNumberFormat="1" applyFont="1" applyAlignment="1">
      <alignment vertical="center" wrapText="1"/>
    </xf>
    <xf numFmtId="0" fontId="2" fillId="0" borderId="0" xfId="0" applyFont="1"/>
    <xf numFmtId="3" fontId="2" fillId="0" borderId="0" xfId="0" applyNumberFormat="1" applyFont="1"/>
    <xf numFmtId="3" fontId="4" fillId="0" borderId="0" xfId="0" applyNumberFormat="1" applyFont="1"/>
    <xf numFmtId="0" fontId="6" fillId="0" borderId="2" xfId="0" applyFont="1" applyBorder="1" applyAlignment="1">
      <alignment horizontal="center" vertical="center" wrapText="1"/>
    </xf>
    <xf numFmtId="3" fontId="6" fillId="0" borderId="2" xfId="0" applyNumberFormat="1" applyFont="1" applyBorder="1" applyAlignment="1">
      <alignment horizontal="center" vertical="center" wrapText="1"/>
    </xf>
    <xf numFmtId="0" fontId="4" fillId="0" borderId="0" xfId="0" applyFont="1" applyAlignment="1">
      <alignment vertical="center" wrapText="1"/>
    </xf>
    <xf numFmtId="0" fontId="4" fillId="0" borderId="0" xfId="0" applyFont="1" applyAlignment="1">
      <alignment vertical="center"/>
    </xf>
    <xf numFmtId="2" fontId="4" fillId="0" borderId="3" xfId="0" applyNumberFormat="1" applyFont="1" applyBorder="1" applyAlignment="1">
      <alignment vertical="center" wrapText="1"/>
    </xf>
    <xf numFmtId="164" fontId="4" fillId="0" borderId="2" xfId="1" applyNumberFormat="1" applyFont="1" applyFill="1" applyBorder="1" applyAlignment="1">
      <alignment vertical="center" wrapText="1"/>
    </xf>
    <xf numFmtId="2" fontId="4" fillId="0" borderId="2" xfId="0" applyNumberFormat="1" applyFont="1" applyBorder="1" applyAlignment="1">
      <alignment vertical="center" wrapText="1"/>
    </xf>
    <xf numFmtId="0" fontId="2" fillId="0" borderId="0" xfId="0" applyFont="1" applyAlignment="1">
      <alignment vertical="center"/>
    </xf>
    <xf numFmtId="49" fontId="4" fillId="0" borderId="2" xfId="0" applyNumberFormat="1" applyFont="1" applyBorder="1" applyAlignment="1">
      <alignment vertical="center" wrapText="1"/>
    </xf>
    <xf numFmtId="0" fontId="4" fillId="0" borderId="2" xfId="0" applyFont="1" applyBorder="1" applyAlignment="1">
      <alignment vertical="top" wrapText="1"/>
    </xf>
    <xf numFmtId="14" fontId="4" fillId="0" borderId="2" xfId="0" applyNumberFormat="1" applyFont="1" applyBorder="1" applyAlignment="1">
      <alignment vertical="center" wrapText="1"/>
    </xf>
    <xf numFmtId="14" fontId="6" fillId="0" borderId="2" xfId="0" applyNumberFormat="1" applyFont="1" applyBorder="1" applyAlignment="1">
      <alignment vertical="center" wrapText="1"/>
    </xf>
    <xf numFmtId="0" fontId="6" fillId="0" borderId="2" xfId="0" applyFont="1" applyBorder="1" applyAlignment="1">
      <alignment wrapText="1"/>
    </xf>
    <xf numFmtId="4" fontId="4" fillId="0" borderId="2" xfId="0" applyNumberFormat="1" applyFont="1" applyBorder="1" applyAlignment="1">
      <alignment vertical="center" wrapText="1"/>
    </xf>
    <xf numFmtId="3" fontId="6" fillId="0" borderId="2" xfId="0" applyNumberFormat="1" applyFont="1" applyBorder="1" applyAlignment="1">
      <alignment wrapText="1"/>
    </xf>
    <xf numFmtId="3" fontId="3" fillId="0" borderId="0" xfId="0" applyNumberFormat="1" applyFont="1" applyAlignment="1">
      <alignment vertical="center" wrapText="1"/>
    </xf>
    <xf numFmtId="4" fontId="4" fillId="0" borderId="0" xfId="0" applyNumberFormat="1" applyFont="1" applyAlignment="1">
      <alignment vertical="center" wrapText="1"/>
    </xf>
    <xf numFmtId="3" fontId="4" fillId="0" borderId="0" xfId="0" applyNumberFormat="1" applyFont="1" applyAlignment="1">
      <alignment vertical="center" wrapText="1"/>
    </xf>
    <xf numFmtId="0" fontId="4" fillId="0" borderId="0" xfId="0" applyFont="1" applyAlignment="1">
      <alignment horizontal="right" vertical="center" wrapText="1"/>
    </xf>
    <xf numFmtId="0" fontId="4" fillId="0" borderId="0" xfId="0" applyFont="1" applyAlignment="1">
      <alignment horizontal="right" vertical="center"/>
    </xf>
    <xf numFmtId="0" fontId="5" fillId="0" borderId="0" xfId="0" applyFont="1" applyAlignment="1">
      <alignment horizontal="right" vertical="center"/>
    </xf>
    <xf numFmtId="0" fontId="6" fillId="0" borderId="0" xfId="0" applyFont="1" applyAlignment="1">
      <alignment horizontal="right" vertical="center"/>
    </xf>
    <xf numFmtId="0" fontId="6" fillId="0" borderId="0" xfId="0" applyFont="1" applyAlignment="1">
      <alignment horizontal="right" vertical="center" wrapText="1"/>
    </xf>
    <xf numFmtId="0" fontId="3" fillId="0" borderId="0" xfId="0" applyFont="1" applyAlignment="1">
      <alignment horizontal="right" vertical="center" wrapText="1"/>
    </xf>
    <xf numFmtId="0" fontId="2" fillId="0" borderId="0" xfId="0" applyFont="1" applyAlignment="1">
      <alignment horizontal="right" vertical="center"/>
    </xf>
    <xf numFmtId="0" fontId="6" fillId="0" borderId="0" xfId="0" applyFont="1" applyAlignment="1">
      <alignment vertical="center" wrapText="1"/>
    </xf>
    <xf numFmtId="4" fontId="6" fillId="0" borderId="0" xfId="0" applyNumberFormat="1" applyFont="1" applyAlignment="1">
      <alignment wrapText="1"/>
    </xf>
    <xf numFmtId="3" fontId="6" fillId="0" borderId="0" xfId="0" applyNumberFormat="1" applyFont="1" applyAlignment="1">
      <alignment wrapText="1"/>
    </xf>
    <xf numFmtId="43" fontId="4" fillId="0" borderId="2" xfId="1" applyFont="1" applyFill="1" applyBorder="1" applyAlignment="1">
      <alignment vertical="center" wrapText="1"/>
    </xf>
    <xf numFmtId="43" fontId="4" fillId="0" borderId="2" xfId="1" applyFont="1" applyFill="1" applyBorder="1" applyAlignment="1">
      <alignment vertical="top" wrapText="1"/>
    </xf>
    <xf numFmtId="43" fontId="4" fillId="0" borderId="2" xfId="1" applyFont="1" applyBorder="1" applyAlignment="1">
      <alignment vertical="top" wrapText="1"/>
    </xf>
    <xf numFmtId="43" fontId="4" fillId="0" borderId="2" xfId="1" applyFont="1" applyBorder="1" applyAlignment="1">
      <alignment horizontal="center" vertical="center" wrapText="1"/>
    </xf>
    <xf numFmtId="43" fontId="4" fillId="0" borderId="2" xfId="1" applyFont="1" applyBorder="1" applyAlignment="1">
      <alignment horizontal="right" vertical="center" wrapText="1"/>
    </xf>
    <xf numFmtId="43" fontId="6" fillId="0" borderId="2" xfId="1" applyFont="1" applyBorder="1" applyAlignment="1">
      <alignment wrapText="1"/>
    </xf>
    <xf numFmtId="43" fontId="4" fillId="0" borderId="2" xfId="1" applyFont="1" applyBorder="1" applyAlignment="1">
      <alignment wrapText="1"/>
    </xf>
    <xf numFmtId="43" fontId="4" fillId="0" borderId="2" xfId="1" applyFont="1" applyBorder="1" applyAlignment="1">
      <alignment vertical="center" wrapText="1"/>
    </xf>
    <xf numFmtId="43" fontId="4" fillId="0" borderId="2" xfId="1" applyFont="1" applyFill="1" applyBorder="1" applyAlignment="1">
      <alignment horizontal="right" vertical="center"/>
    </xf>
    <xf numFmtId="43" fontId="3" fillId="0" borderId="2" xfId="1" applyFont="1" applyBorder="1" applyAlignment="1">
      <alignment wrapText="1"/>
    </xf>
    <xf numFmtId="43" fontId="3" fillId="0" borderId="2" xfId="1" applyFont="1" applyBorder="1" applyAlignment="1">
      <alignment vertical="center" wrapText="1"/>
    </xf>
    <xf numFmtId="43" fontId="3" fillId="0" borderId="2" xfId="1" applyFont="1" applyBorder="1" applyAlignment="1">
      <alignment horizontal="right" vertical="center" wrapText="1"/>
    </xf>
    <xf numFmtId="43" fontId="6" fillId="0" borderId="2" xfId="1" applyFont="1" applyBorder="1" applyAlignment="1">
      <alignment vertical="center" wrapText="1"/>
    </xf>
    <xf numFmtId="0" fontId="5" fillId="0" borderId="0" xfId="0" applyFont="1" applyAlignment="1">
      <alignment horizontal="center" wrapText="1"/>
    </xf>
    <xf numFmtId="0" fontId="2" fillId="0" borderId="0" xfId="0" applyFont="1" applyAlignment="1">
      <alignment horizontal="center" wrapText="1"/>
    </xf>
    <xf numFmtId="0" fontId="6" fillId="0" borderId="0" xfId="0" applyFont="1" applyAlignment="1">
      <alignment horizontal="center" wrapText="1"/>
    </xf>
    <xf numFmtId="0" fontId="7" fillId="0" borderId="0" xfId="0" applyFont="1" applyAlignment="1">
      <alignment horizontal="center" wrapText="1"/>
    </xf>
    <xf numFmtId="0" fontId="5" fillId="0" borderId="0" xfId="0" applyFont="1" applyAlignment="1">
      <alignment horizontal="center" vertical="center" wrapText="1"/>
    </xf>
    <xf numFmtId="2" fontId="6" fillId="0" borderId="0" xfId="0" applyNumberFormat="1" applyFont="1" applyAlignment="1">
      <alignment horizontal="center" wrapText="1"/>
    </xf>
    <xf numFmtId="4" fontId="6" fillId="0" borderId="0" xfId="0" applyNumberFormat="1" applyFont="1" applyAlignment="1">
      <alignment horizontal="center" wrapText="1"/>
    </xf>
    <xf numFmtId="0" fontId="2" fillId="0" borderId="0" xfId="0" applyFont="1" applyAlignment="1">
      <alignment horizontal="center" vertical="center" wrapText="1"/>
    </xf>
    <xf numFmtId="0" fontId="6" fillId="0" borderId="0" xfId="0" applyFont="1" applyAlignment="1">
      <alignment horizontal="center" vertical="center" wrapText="1"/>
    </xf>
    <xf numFmtId="0" fontId="2" fillId="0" borderId="0" xfId="0" applyFont="1" applyAlignment="1">
      <alignment horizontal="center"/>
    </xf>
    <xf numFmtId="0" fontId="8" fillId="0" borderId="1" xfId="0" applyFont="1" applyBorder="1" applyAlignment="1">
      <alignment horizontal="center" wrapText="1"/>
    </xf>
    <xf numFmtId="0" fontId="6" fillId="0" borderId="2" xfId="0" applyFont="1" applyBorder="1" applyAlignment="1">
      <alignment horizontal="center" vertical="center" wrapText="1"/>
    </xf>
    <xf numFmtId="2" fontId="6" fillId="0" borderId="2" xfId="0" applyNumberFormat="1" applyFont="1" applyBorder="1" applyAlignment="1">
      <alignment horizontal="center" vertical="center" wrapText="1"/>
    </xf>
    <xf numFmtId="0" fontId="6" fillId="0" borderId="2" xfId="0" applyFont="1" applyBorder="1" applyAlignment="1">
      <alignment vertical="center" wrapText="1"/>
    </xf>
    <xf numFmtId="3" fontId="6" fillId="0" borderId="2" xfId="0" applyNumberFormat="1" applyFont="1" applyBorder="1" applyAlignment="1">
      <alignment horizontal="center" vertical="center" wrapText="1"/>
    </xf>
    <xf numFmtId="2" fontId="9" fillId="0" borderId="0" xfId="0" applyNumberFormat="1" applyFont="1"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4"/>
  <sheetViews>
    <sheetView topLeftCell="A4" zoomScale="85" zoomScaleNormal="85" workbookViewId="0">
      <pane xSplit="15" ySplit="15" topLeftCell="P34" activePane="bottomRight" state="frozen"/>
      <selection activeCell="A4" sqref="A4"/>
      <selection pane="topRight" activeCell="P4" sqref="P4"/>
      <selection pane="bottomLeft" activeCell="A17" sqref="A17"/>
      <selection pane="bottomRight" activeCell="I10" sqref="I10:I11"/>
    </sheetView>
  </sheetViews>
  <sheetFormatPr defaultColWidth="8.7109375" defaultRowHeight="15.75" x14ac:dyDescent="0.25"/>
  <cols>
    <col min="1" max="1" width="4.28515625" style="51" bestFit="1" customWidth="1"/>
    <col min="2" max="2" width="26.5703125" style="7" customWidth="1"/>
    <col min="3" max="3" width="24.28515625" style="4" customWidth="1"/>
    <col min="4" max="4" width="9" style="2" bestFit="1" customWidth="1"/>
    <col min="5" max="5" width="10.42578125" style="2" customWidth="1"/>
    <col min="6" max="6" width="4.28515625" style="3" customWidth="1"/>
    <col min="7" max="7" width="6.42578125" style="4" customWidth="1"/>
    <col min="8" max="8" width="4.28515625" style="4" customWidth="1"/>
    <col min="9" max="9" width="11.7109375" style="4" customWidth="1"/>
    <col min="10" max="10" width="6.5703125" style="4" customWidth="1"/>
    <col min="11" max="11" width="8.42578125" style="4" customWidth="1"/>
    <col min="12" max="12" width="7.7109375" style="4" customWidth="1"/>
    <col min="13" max="13" width="8.7109375" style="4" customWidth="1"/>
    <col min="14" max="14" width="7.5703125" style="2" customWidth="1"/>
    <col min="15" max="15" width="12.28515625" style="2" customWidth="1"/>
    <col min="16" max="16" width="10.85546875" style="3" customWidth="1"/>
    <col min="17" max="17" width="11.85546875" style="2" customWidth="1"/>
    <col min="18" max="18" width="13.7109375" style="2" customWidth="1"/>
    <col min="19" max="19" width="15.5703125" style="2" customWidth="1"/>
    <col min="20" max="20" width="21.7109375" style="67" customWidth="1"/>
    <col min="21" max="31" width="8.7109375" style="4"/>
    <col min="32" max="16384" width="8.7109375" style="5"/>
  </cols>
  <sheetData>
    <row r="1" spans="1:31" ht="28.5" customHeight="1" x14ac:dyDescent="0.3">
      <c r="A1" s="91" t="s">
        <v>0</v>
      </c>
      <c r="B1" s="91"/>
      <c r="C1" s="1"/>
      <c r="D1" s="1"/>
      <c r="R1" s="90" t="s">
        <v>1</v>
      </c>
      <c r="S1" s="90"/>
      <c r="T1" s="68"/>
      <c r="U1" s="5"/>
      <c r="V1" s="5"/>
      <c r="W1" s="5"/>
      <c r="X1" s="5"/>
      <c r="Y1" s="5"/>
      <c r="Z1" s="5"/>
      <c r="AA1" s="5"/>
      <c r="AB1" s="5"/>
      <c r="AC1" s="5"/>
      <c r="AD1" s="5"/>
      <c r="AE1" s="5"/>
    </row>
    <row r="2" spans="1:31" x14ac:dyDescent="0.25">
      <c r="A2" s="92" t="s">
        <v>57</v>
      </c>
      <c r="B2" s="92"/>
    </row>
    <row r="3" spans="1:31" s="6" customFormat="1" ht="18.75" x14ac:dyDescent="0.3">
      <c r="A3" s="93" t="s">
        <v>2</v>
      </c>
      <c r="B3" s="93"/>
      <c r="C3" s="93"/>
      <c r="D3" s="93"/>
      <c r="E3" s="93"/>
      <c r="F3" s="93"/>
      <c r="G3" s="93"/>
      <c r="H3" s="93"/>
      <c r="I3" s="93"/>
      <c r="J3" s="93"/>
      <c r="K3" s="93"/>
      <c r="L3" s="93"/>
      <c r="M3" s="93"/>
      <c r="N3" s="93"/>
      <c r="O3" s="93"/>
      <c r="P3" s="93"/>
      <c r="Q3" s="93"/>
      <c r="R3" s="93"/>
      <c r="S3" s="93"/>
      <c r="T3" s="69"/>
    </row>
    <row r="4" spans="1:31" s="52" customFormat="1" ht="18.75" customHeight="1" x14ac:dyDescent="0.25">
      <c r="A4" s="97" t="s">
        <v>0</v>
      </c>
      <c r="B4" s="97"/>
      <c r="C4" s="97"/>
      <c r="D4" s="64"/>
      <c r="E4" s="65"/>
      <c r="F4" s="66"/>
      <c r="G4" s="51"/>
      <c r="H4" s="51"/>
      <c r="I4" s="51"/>
      <c r="J4" s="51"/>
      <c r="K4" s="51"/>
      <c r="L4" s="51"/>
      <c r="M4" s="51"/>
      <c r="N4" s="65"/>
      <c r="O4" s="66"/>
      <c r="P4" s="66"/>
      <c r="Q4" s="65"/>
      <c r="R4" s="94" t="s">
        <v>1</v>
      </c>
      <c r="S4" s="94"/>
    </row>
    <row r="5" spans="1:31" s="52" customFormat="1" ht="15.75" customHeight="1" x14ac:dyDescent="0.25">
      <c r="A5" s="98" t="s">
        <v>57</v>
      </c>
      <c r="B5" s="98"/>
      <c r="C5" s="98"/>
      <c r="D5" s="66"/>
      <c r="E5" s="65"/>
      <c r="F5" s="66"/>
      <c r="G5" s="51"/>
      <c r="H5" s="51"/>
      <c r="I5" s="51"/>
      <c r="J5" s="51"/>
      <c r="K5" s="51"/>
      <c r="L5" s="51"/>
      <c r="M5" s="51"/>
      <c r="N5" s="65"/>
      <c r="O5" s="66"/>
      <c r="P5" s="66"/>
      <c r="Q5" s="65"/>
      <c r="R5" s="65"/>
      <c r="S5" s="65"/>
      <c r="T5" s="51"/>
      <c r="U5" s="51"/>
      <c r="V5" s="51"/>
      <c r="W5" s="51"/>
      <c r="X5" s="51"/>
      <c r="Y5" s="51"/>
      <c r="Z5" s="51"/>
      <c r="AA5" s="51"/>
      <c r="AB5" s="51"/>
      <c r="AC5" s="51"/>
      <c r="AD5" s="51"/>
      <c r="AE5" s="51"/>
    </row>
    <row r="6" spans="1:31" s="6" customFormat="1" ht="18.75" x14ac:dyDescent="0.3">
      <c r="A6" s="93" t="s">
        <v>3</v>
      </c>
      <c r="B6" s="93"/>
      <c r="C6" s="93"/>
      <c r="D6" s="93"/>
      <c r="E6" s="93"/>
      <c r="F6" s="93"/>
      <c r="G6" s="93"/>
      <c r="H6" s="93"/>
      <c r="I6" s="93"/>
      <c r="J6" s="93"/>
      <c r="K6" s="93"/>
      <c r="L6" s="93"/>
      <c r="M6" s="93"/>
      <c r="N6" s="93"/>
      <c r="O6" s="93"/>
      <c r="P6" s="93"/>
      <c r="Q6" s="93"/>
      <c r="R6" s="93"/>
      <c r="S6" s="93"/>
      <c r="T6" s="69"/>
    </row>
    <row r="7" spans="1:31" s="6" customFormat="1" ht="18.75" x14ac:dyDescent="0.3">
      <c r="A7" s="90" t="s">
        <v>4</v>
      </c>
      <c r="B7" s="90"/>
      <c r="C7" s="90"/>
      <c r="D7" s="90"/>
      <c r="E7" s="90"/>
      <c r="F7" s="90"/>
      <c r="G7" s="90"/>
      <c r="H7" s="90"/>
      <c r="I7" s="90"/>
      <c r="J7" s="90"/>
      <c r="K7" s="90"/>
      <c r="L7" s="90"/>
      <c r="M7" s="90"/>
      <c r="N7" s="90"/>
      <c r="O7" s="90"/>
      <c r="P7" s="90"/>
      <c r="Q7" s="90"/>
      <c r="R7" s="90"/>
      <c r="S7" s="90"/>
      <c r="T7" s="69"/>
    </row>
    <row r="8" spans="1:31" s="6" customFormat="1" ht="18.75" x14ac:dyDescent="0.3">
      <c r="A8" s="90" t="s">
        <v>78</v>
      </c>
      <c r="B8" s="90"/>
      <c r="C8" s="90"/>
      <c r="D8" s="90"/>
      <c r="E8" s="90"/>
      <c r="F8" s="90"/>
      <c r="G8" s="90"/>
      <c r="H8" s="90"/>
      <c r="I8" s="90"/>
      <c r="J8" s="90"/>
      <c r="K8" s="90"/>
      <c r="L8" s="90"/>
      <c r="M8" s="90"/>
      <c r="N8" s="90"/>
      <c r="O8" s="90"/>
      <c r="P8" s="90"/>
      <c r="Q8" s="90"/>
      <c r="R8" s="90"/>
      <c r="S8" s="90"/>
      <c r="T8" s="69"/>
    </row>
    <row r="9" spans="1:31" ht="15.6" customHeight="1" x14ac:dyDescent="0.25">
      <c r="A9" s="52"/>
      <c r="Q9" s="100" t="s">
        <v>76</v>
      </c>
      <c r="R9" s="100"/>
      <c r="S9" s="100"/>
      <c r="T9" s="68"/>
      <c r="U9" s="5"/>
      <c r="V9" s="5"/>
      <c r="W9" s="5"/>
      <c r="X9" s="5"/>
      <c r="Y9" s="5"/>
      <c r="Z9" s="5"/>
      <c r="AA9" s="5"/>
      <c r="AB9" s="5"/>
      <c r="AC9" s="5"/>
      <c r="AD9" s="5"/>
      <c r="AE9" s="5"/>
    </row>
    <row r="10" spans="1:31" ht="39.950000000000003" customHeight="1" x14ac:dyDescent="0.25">
      <c r="A10" s="101" t="s">
        <v>5</v>
      </c>
      <c r="B10" s="102" t="s">
        <v>6</v>
      </c>
      <c r="C10" s="103" t="s">
        <v>7</v>
      </c>
      <c r="D10" s="101" t="s">
        <v>8</v>
      </c>
      <c r="E10" s="101"/>
      <c r="F10" s="101"/>
      <c r="G10" s="101"/>
      <c r="H10" s="101"/>
      <c r="I10" s="101" t="s">
        <v>9</v>
      </c>
      <c r="J10" s="101" t="s">
        <v>10</v>
      </c>
      <c r="K10" s="101"/>
      <c r="L10" s="101"/>
      <c r="M10" s="101" t="s">
        <v>79</v>
      </c>
      <c r="N10" s="101"/>
      <c r="O10" s="101"/>
      <c r="P10" s="104" t="s">
        <v>83</v>
      </c>
      <c r="Q10" s="104"/>
      <c r="R10" s="104"/>
      <c r="S10" s="8"/>
      <c r="T10" s="68"/>
      <c r="U10" s="5"/>
      <c r="V10" s="5"/>
      <c r="W10" s="5"/>
      <c r="X10" s="5"/>
      <c r="Y10" s="5"/>
      <c r="Z10" s="5"/>
      <c r="AA10" s="5"/>
      <c r="AB10" s="5"/>
      <c r="AC10" s="5"/>
      <c r="AD10" s="5"/>
      <c r="AE10" s="5"/>
    </row>
    <row r="11" spans="1:31" ht="74.25" customHeight="1" x14ac:dyDescent="0.25">
      <c r="A11" s="101"/>
      <c r="B11" s="102"/>
      <c r="C11" s="103"/>
      <c r="D11" s="8" t="s">
        <v>11</v>
      </c>
      <c r="E11" s="8" t="s">
        <v>12</v>
      </c>
      <c r="F11" s="50" t="s">
        <v>13</v>
      </c>
      <c r="G11" s="49" t="s">
        <v>14</v>
      </c>
      <c r="H11" s="49" t="s">
        <v>13</v>
      </c>
      <c r="I11" s="101"/>
      <c r="J11" s="49" t="s">
        <v>15</v>
      </c>
      <c r="K11" s="49" t="s">
        <v>16</v>
      </c>
      <c r="L11" s="49" t="s">
        <v>17</v>
      </c>
      <c r="M11" s="49" t="s">
        <v>18</v>
      </c>
      <c r="N11" s="8" t="s">
        <v>19</v>
      </c>
      <c r="O11" s="8" t="s">
        <v>84</v>
      </c>
      <c r="P11" s="50" t="s">
        <v>18</v>
      </c>
      <c r="Q11" s="8" t="s">
        <v>19</v>
      </c>
      <c r="R11" s="8" t="s">
        <v>84</v>
      </c>
      <c r="S11" s="8" t="s">
        <v>20</v>
      </c>
      <c r="T11" s="68"/>
      <c r="U11" s="5"/>
      <c r="V11" s="5"/>
      <c r="W11" s="5"/>
      <c r="X11" s="5"/>
      <c r="Y11" s="5"/>
      <c r="Z11" s="5"/>
      <c r="AA11" s="5"/>
      <c r="AB11" s="5"/>
      <c r="AC11" s="5"/>
      <c r="AD11" s="5"/>
      <c r="AE11" s="5"/>
    </row>
    <row r="12" spans="1:31" x14ac:dyDescent="0.25">
      <c r="A12" s="9" t="s">
        <v>36</v>
      </c>
      <c r="B12" s="9" t="s">
        <v>37</v>
      </c>
      <c r="C12" s="57" t="s">
        <v>38</v>
      </c>
      <c r="D12" s="9" t="s">
        <v>39</v>
      </c>
      <c r="E12" s="9" t="s">
        <v>40</v>
      </c>
      <c r="F12" s="9" t="s">
        <v>41</v>
      </c>
      <c r="G12" s="9" t="s">
        <v>42</v>
      </c>
      <c r="H12" s="9" t="s">
        <v>43</v>
      </c>
      <c r="I12" s="9" t="s">
        <v>44</v>
      </c>
      <c r="J12" s="9" t="s">
        <v>45</v>
      </c>
      <c r="K12" s="9" t="s">
        <v>46</v>
      </c>
      <c r="L12" s="9" t="s">
        <v>47</v>
      </c>
      <c r="M12" s="9" t="s">
        <v>48</v>
      </c>
      <c r="N12" s="9" t="s">
        <v>49</v>
      </c>
      <c r="O12" s="9" t="s">
        <v>50</v>
      </c>
      <c r="P12" s="9" t="s">
        <v>51</v>
      </c>
      <c r="Q12" s="9" t="s">
        <v>52</v>
      </c>
      <c r="R12" s="9" t="s">
        <v>53</v>
      </c>
      <c r="S12" s="9" t="s">
        <v>54</v>
      </c>
      <c r="T12" s="68"/>
      <c r="U12" s="5"/>
      <c r="V12" s="5"/>
      <c r="W12" s="5"/>
      <c r="X12" s="5"/>
      <c r="Y12" s="5"/>
      <c r="Z12" s="5"/>
      <c r="AA12" s="5"/>
      <c r="AB12" s="5"/>
      <c r="AC12" s="5"/>
      <c r="AD12" s="5"/>
      <c r="AE12" s="5"/>
    </row>
    <row r="13" spans="1:31" x14ac:dyDescent="0.25">
      <c r="A13" s="20" t="s">
        <v>21</v>
      </c>
      <c r="B13" s="10" t="s">
        <v>22</v>
      </c>
      <c r="C13" s="13"/>
      <c r="D13" s="11"/>
      <c r="E13" s="11"/>
      <c r="F13" s="12"/>
      <c r="G13" s="13"/>
      <c r="H13" s="9"/>
      <c r="I13" s="13"/>
      <c r="J13" s="13"/>
      <c r="K13" s="13"/>
      <c r="L13" s="13"/>
      <c r="M13" s="13"/>
      <c r="N13" s="11"/>
      <c r="O13" s="11"/>
      <c r="P13" s="12"/>
      <c r="Q13" s="11"/>
      <c r="R13" s="11"/>
      <c r="S13" s="11"/>
      <c r="T13" s="68"/>
      <c r="U13" s="5"/>
      <c r="V13" s="5"/>
      <c r="W13" s="5"/>
      <c r="X13" s="5"/>
      <c r="Y13" s="5"/>
      <c r="Z13" s="5"/>
      <c r="AA13" s="5"/>
      <c r="AB13" s="5"/>
      <c r="AC13" s="5"/>
      <c r="AD13" s="5"/>
      <c r="AE13" s="5"/>
    </row>
    <row r="14" spans="1:31" x14ac:dyDescent="0.25">
      <c r="A14" s="20"/>
      <c r="B14" s="14" t="s">
        <v>23</v>
      </c>
      <c r="C14" s="13"/>
      <c r="D14" s="11"/>
      <c r="E14" s="11"/>
      <c r="F14" s="12"/>
      <c r="G14" s="13"/>
      <c r="I14" s="13"/>
      <c r="J14" s="13"/>
      <c r="K14" s="13"/>
      <c r="L14" s="13"/>
      <c r="M14" s="13"/>
      <c r="N14" s="11"/>
      <c r="O14" s="11"/>
      <c r="P14" s="12"/>
      <c r="Q14" s="11"/>
      <c r="R14" s="11"/>
      <c r="S14" s="11"/>
      <c r="T14" s="68"/>
      <c r="U14" s="5"/>
      <c r="V14" s="5"/>
      <c r="W14" s="5"/>
      <c r="X14" s="5"/>
      <c r="Y14" s="5"/>
      <c r="Z14" s="5"/>
      <c r="AA14" s="5"/>
      <c r="AB14" s="5"/>
      <c r="AC14" s="5"/>
      <c r="AD14" s="5"/>
      <c r="AE14" s="5"/>
    </row>
    <row r="15" spans="1:31" s="43" customFormat="1" x14ac:dyDescent="0.25">
      <c r="A15" s="49" t="s">
        <v>24</v>
      </c>
      <c r="B15" s="10" t="s">
        <v>25</v>
      </c>
      <c r="C15" s="61"/>
      <c r="D15" s="63"/>
      <c r="E15" s="63"/>
      <c r="F15" s="63"/>
      <c r="G15" s="63"/>
      <c r="H15" s="63"/>
      <c r="I15" s="63"/>
      <c r="J15" s="63"/>
      <c r="K15" s="63"/>
      <c r="L15" s="63"/>
      <c r="M15" s="63"/>
      <c r="N15" s="63"/>
      <c r="O15" s="63"/>
      <c r="P15" s="63"/>
      <c r="Q15" s="63"/>
      <c r="R15" s="63"/>
      <c r="S15" s="63"/>
      <c r="T15" s="70"/>
    </row>
    <row r="16" spans="1:31" s="19" customFormat="1" hidden="1" x14ac:dyDescent="0.25">
      <c r="A16" s="20" t="s">
        <v>26</v>
      </c>
      <c r="B16" s="15" t="s">
        <v>27</v>
      </c>
      <c r="C16" s="58"/>
      <c r="D16" s="16"/>
      <c r="E16" s="16"/>
      <c r="F16" s="17"/>
      <c r="G16" s="16"/>
      <c r="H16" s="16"/>
      <c r="I16" s="16"/>
      <c r="J16" s="16"/>
      <c r="K16" s="16"/>
      <c r="L16" s="16"/>
      <c r="M16" s="16"/>
      <c r="N16" s="16"/>
      <c r="O16" s="16"/>
      <c r="P16" s="16"/>
      <c r="Q16" s="16"/>
      <c r="R16" s="16"/>
      <c r="S16" s="16"/>
      <c r="T16" s="67"/>
      <c r="U16" s="18"/>
      <c r="V16" s="18"/>
      <c r="W16" s="18"/>
      <c r="X16" s="18"/>
      <c r="Y16" s="18"/>
      <c r="Z16" s="18"/>
      <c r="AA16" s="18"/>
      <c r="AB16" s="18"/>
      <c r="AC16" s="18"/>
      <c r="AD16" s="18"/>
      <c r="AE16" s="18"/>
    </row>
    <row r="17" spans="1:31" s="19" customFormat="1" hidden="1" x14ac:dyDescent="0.25">
      <c r="A17" s="20"/>
      <c r="B17" s="15" t="s">
        <v>23</v>
      </c>
      <c r="C17" s="58"/>
      <c r="D17" s="16"/>
      <c r="E17" s="16"/>
      <c r="F17" s="17"/>
      <c r="G17" s="16"/>
      <c r="H17" s="16"/>
      <c r="I17" s="16"/>
      <c r="J17" s="16"/>
      <c r="K17" s="16"/>
      <c r="L17" s="16"/>
      <c r="M17" s="16"/>
      <c r="N17" s="16"/>
      <c r="O17" s="16"/>
      <c r="P17" s="16"/>
      <c r="Q17" s="16"/>
      <c r="R17" s="16"/>
      <c r="S17" s="16"/>
      <c r="T17" s="67"/>
      <c r="U17" s="18"/>
      <c r="V17" s="18"/>
      <c r="W17" s="18"/>
      <c r="X17" s="18"/>
      <c r="Y17" s="18"/>
      <c r="Z17" s="18"/>
      <c r="AA17" s="18"/>
      <c r="AB17" s="18"/>
      <c r="AC17" s="18"/>
      <c r="AD17" s="18"/>
      <c r="AE17" s="18"/>
    </row>
    <row r="18" spans="1:31" s="19" customFormat="1" ht="17.25" hidden="1" customHeight="1" x14ac:dyDescent="0.25">
      <c r="A18" s="20" t="s">
        <v>28</v>
      </c>
      <c r="B18" s="15" t="s">
        <v>29</v>
      </c>
      <c r="C18" s="58"/>
      <c r="D18" s="16"/>
      <c r="E18" s="16"/>
      <c r="F18" s="17"/>
      <c r="G18" s="16"/>
      <c r="H18" s="16"/>
      <c r="I18" s="16"/>
      <c r="J18" s="16"/>
      <c r="K18" s="16"/>
      <c r="L18" s="16"/>
      <c r="M18" s="16"/>
      <c r="N18" s="16"/>
      <c r="O18" s="16"/>
      <c r="P18" s="16"/>
      <c r="Q18" s="16"/>
      <c r="R18" s="16"/>
      <c r="S18" s="16"/>
      <c r="T18" s="67"/>
      <c r="U18" s="18"/>
      <c r="V18" s="18"/>
      <c r="W18" s="18"/>
      <c r="X18" s="18"/>
      <c r="Y18" s="18"/>
      <c r="Z18" s="18"/>
      <c r="AA18" s="18"/>
      <c r="AB18" s="18"/>
      <c r="AC18" s="18"/>
      <c r="AD18" s="18"/>
      <c r="AE18" s="18"/>
    </row>
    <row r="19" spans="1:31" s="19" customFormat="1" ht="63" x14ac:dyDescent="0.25">
      <c r="A19" s="20">
        <v>1</v>
      </c>
      <c r="B19" s="53" t="s">
        <v>56</v>
      </c>
      <c r="C19" s="58" t="s">
        <v>58</v>
      </c>
      <c r="D19" s="77">
        <v>124.485</v>
      </c>
      <c r="E19" s="77">
        <v>124.485</v>
      </c>
      <c r="F19" s="28"/>
      <c r="G19" s="62"/>
      <c r="H19" s="62"/>
      <c r="I19" s="62" t="s">
        <v>71</v>
      </c>
      <c r="J19" s="77"/>
      <c r="K19" s="77"/>
      <c r="L19" s="77"/>
      <c r="M19" s="77">
        <f>1.173+0.3</f>
        <v>1.4730000000000001</v>
      </c>
      <c r="N19" s="77">
        <v>32.286999999999999</v>
      </c>
      <c r="O19" s="77">
        <f>N19+M19</f>
        <v>33.76</v>
      </c>
      <c r="P19" s="77">
        <f>1.173+0.3</f>
        <v>1.4730000000000001</v>
      </c>
      <c r="Q19" s="77">
        <v>32.286999999999999</v>
      </c>
      <c r="R19" s="77">
        <f>P19+Q19</f>
        <v>33.76</v>
      </c>
      <c r="S19" s="78"/>
      <c r="T19" s="67"/>
      <c r="U19" s="18"/>
      <c r="V19" s="18"/>
      <c r="W19" s="18"/>
      <c r="X19" s="18"/>
      <c r="Y19" s="18"/>
      <c r="Z19" s="18"/>
      <c r="AA19" s="18"/>
      <c r="AB19" s="18"/>
      <c r="AC19" s="18"/>
      <c r="AD19" s="18"/>
    </row>
    <row r="20" spans="1:31" s="19" customFormat="1" x14ac:dyDescent="0.25">
      <c r="A20" s="20" t="s">
        <v>30</v>
      </c>
      <c r="B20" s="15" t="s">
        <v>31</v>
      </c>
      <c r="C20" s="58"/>
      <c r="D20" s="79"/>
      <c r="E20" s="79"/>
      <c r="F20" s="17"/>
      <c r="G20" s="16"/>
      <c r="H20" s="16"/>
      <c r="I20" s="16"/>
      <c r="J20" s="79"/>
      <c r="K20" s="79"/>
      <c r="L20" s="79"/>
      <c r="M20" s="79"/>
      <c r="N20" s="79"/>
      <c r="O20" s="79"/>
      <c r="P20" s="79"/>
      <c r="Q20" s="79"/>
      <c r="R20" s="79"/>
      <c r="S20" s="79"/>
      <c r="T20" s="67"/>
      <c r="U20" s="18"/>
      <c r="V20" s="18"/>
      <c r="W20" s="18"/>
      <c r="X20" s="18"/>
      <c r="Y20" s="18"/>
      <c r="Z20" s="18"/>
      <c r="AA20" s="18"/>
      <c r="AB20" s="18"/>
      <c r="AC20" s="18"/>
      <c r="AD20" s="18"/>
      <c r="AE20" s="18"/>
    </row>
    <row r="21" spans="1:31" s="19" customFormat="1" x14ac:dyDescent="0.25">
      <c r="A21" s="20"/>
      <c r="B21" s="15" t="s">
        <v>23</v>
      </c>
      <c r="C21" s="59"/>
      <c r="D21" s="81"/>
      <c r="E21" s="81"/>
      <c r="F21" s="22"/>
      <c r="G21" s="23"/>
      <c r="H21" s="23"/>
      <c r="I21" s="23"/>
      <c r="J21" s="80"/>
      <c r="K21" s="80"/>
      <c r="L21" s="80"/>
      <c r="M21" s="80"/>
      <c r="N21" s="80"/>
      <c r="O21" s="80"/>
      <c r="P21" s="80"/>
      <c r="Q21" s="81"/>
      <c r="R21" s="81"/>
      <c r="S21" s="81"/>
      <c r="T21" s="67"/>
      <c r="U21" s="18"/>
      <c r="V21" s="18"/>
      <c r="W21" s="18"/>
      <c r="X21" s="18"/>
      <c r="Y21" s="18"/>
      <c r="Z21" s="18"/>
      <c r="AA21" s="18"/>
      <c r="AB21" s="18"/>
      <c r="AC21" s="18"/>
      <c r="AD21" s="18"/>
      <c r="AE21" s="18"/>
    </row>
    <row r="22" spans="1:31" s="26" customFormat="1" x14ac:dyDescent="0.25">
      <c r="A22" s="20"/>
      <c r="B22" s="24" t="s">
        <v>32</v>
      </c>
      <c r="C22" s="60"/>
      <c r="D22" s="82">
        <f>SUM(D19:D21)</f>
        <v>124.485</v>
      </c>
      <c r="E22" s="82">
        <f t="shared" ref="E22:S22" si="0">SUM(E19:E21)</f>
        <v>124.485</v>
      </c>
      <c r="F22" s="63">
        <f t="shared" si="0"/>
        <v>0</v>
      </c>
      <c r="G22" s="63">
        <f t="shared" si="0"/>
        <v>0</v>
      </c>
      <c r="H22" s="63">
        <f t="shared" si="0"/>
        <v>0</v>
      </c>
      <c r="I22" s="63"/>
      <c r="J22" s="82">
        <f t="shared" si="0"/>
        <v>0</v>
      </c>
      <c r="K22" s="82">
        <f t="shared" si="0"/>
        <v>0</v>
      </c>
      <c r="L22" s="82">
        <f t="shared" si="0"/>
        <v>0</v>
      </c>
      <c r="M22" s="82">
        <f t="shared" si="0"/>
        <v>1.4730000000000001</v>
      </c>
      <c r="N22" s="82">
        <f t="shared" si="0"/>
        <v>32.286999999999999</v>
      </c>
      <c r="O22" s="82">
        <f t="shared" si="0"/>
        <v>33.76</v>
      </c>
      <c r="P22" s="82">
        <f t="shared" si="0"/>
        <v>1.4730000000000001</v>
      </c>
      <c r="Q22" s="82">
        <f t="shared" si="0"/>
        <v>32.286999999999999</v>
      </c>
      <c r="R22" s="82">
        <f t="shared" si="0"/>
        <v>33.76</v>
      </c>
      <c r="S22" s="82">
        <f t="shared" si="0"/>
        <v>0</v>
      </c>
      <c r="T22" s="71"/>
      <c r="U22" s="25"/>
      <c r="V22" s="25"/>
      <c r="W22" s="25"/>
      <c r="X22" s="25"/>
      <c r="Y22" s="25"/>
      <c r="Z22" s="25"/>
      <c r="AA22" s="25"/>
      <c r="AB22" s="25"/>
      <c r="AC22" s="25"/>
      <c r="AD22" s="25"/>
      <c r="AE22" s="25"/>
    </row>
    <row r="23" spans="1:31" ht="20.45" customHeight="1" x14ac:dyDescent="0.25">
      <c r="A23" s="20" t="s">
        <v>33</v>
      </c>
      <c r="B23" s="10" t="s">
        <v>55</v>
      </c>
      <c r="C23" s="13"/>
      <c r="D23" s="83"/>
      <c r="E23" s="83"/>
      <c r="F23" s="12"/>
      <c r="G23" s="13"/>
      <c r="H23" s="13"/>
      <c r="I23" s="13"/>
      <c r="J23" s="83"/>
      <c r="K23" s="83"/>
      <c r="L23" s="83"/>
      <c r="M23" s="83"/>
      <c r="N23" s="83"/>
      <c r="O23" s="83"/>
      <c r="P23" s="83"/>
      <c r="Q23" s="83"/>
      <c r="R23" s="83"/>
      <c r="S23" s="83"/>
    </row>
    <row r="24" spans="1:31" ht="20.45" customHeight="1" x14ac:dyDescent="0.25">
      <c r="A24" s="49" t="s">
        <v>26</v>
      </c>
      <c r="B24" s="10" t="s">
        <v>27</v>
      </c>
      <c r="C24" s="13"/>
      <c r="D24" s="83"/>
      <c r="E24" s="83"/>
      <c r="F24" s="12"/>
      <c r="G24" s="13"/>
      <c r="H24" s="13"/>
      <c r="I24" s="13"/>
      <c r="J24" s="83"/>
      <c r="K24" s="83"/>
      <c r="L24" s="83"/>
      <c r="M24" s="83"/>
      <c r="N24" s="83"/>
      <c r="O24" s="83"/>
      <c r="P24" s="83"/>
      <c r="Q24" s="83"/>
      <c r="R24" s="83"/>
      <c r="S24" s="83"/>
    </row>
    <row r="25" spans="1:31" ht="21" customHeight="1" x14ac:dyDescent="0.25">
      <c r="A25" s="49" t="s">
        <v>28</v>
      </c>
      <c r="B25" s="27" t="s">
        <v>29</v>
      </c>
      <c r="C25" s="29"/>
      <c r="D25" s="84"/>
      <c r="E25" s="84"/>
      <c r="F25" s="22"/>
      <c r="G25" s="13"/>
      <c r="H25" s="13"/>
      <c r="I25" s="13"/>
      <c r="J25" s="83"/>
      <c r="K25" s="83"/>
      <c r="L25" s="83"/>
      <c r="M25" s="84"/>
      <c r="N25" s="84"/>
      <c r="O25" s="84"/>
      <c r="P25" s="84"/>
      <c r="Q25" s="84"/>
      <c r="R25" s="84"/>
      <c r="S25" s="84"/>
    </row>
    <row r="26" spans="1:31" s="52" customFormat="1" ht="102" customHeight="1" x14ac:dyDescent="0.25">
      <c r="A26" s="20">
        <v>1</v>
      </c>
      <c r="B26" s="53" t="s">
        <v>60</v>
      </c>
      <c r="C26" s="29" t="s">
        <v>65</v>
      </c>
      <c r="D26" s="77">
        <v>4.7709999999999999</v>
      </c>
      <c r="E26" s="77">
        <v>4.7709999999999999</v>
      </c>
      <c r="F26" s="28"/>
      <c r="G26" s="29"/>
      <c r="H26" s="29"/>
      <c r="I26" s="29" t="s">
        <v>75</v>
      </c>
      <c r="J26" s="77"/>
      <c r="K26" s="77"/>
      <c r="L26" s="77"/>
      <c r="M26" s="77">
        <v>1.4550000000000001</v>
      </c>
      <c r="N26" s="77">
        <v>3.3149999999999999</v>
      </c>
      <c r="O26" s="77">
        <f>N26+M26</f>
        <v>4.7699999999999996</v>
      </c>
      <c r="P26" s="77">
        <v>1.4550000000000001</v>
      </c>
      <c r="Q26" s="77">
        <v>3.3149999999999999</v>
      </c>
      <c r="R26" s="77">
        <f t="shared" ref="R26:R28" si="1">Q26+P26</f>
        <v>4.7699999999999996</v>
      </c>
      <c r="S26" s="77">
        <v>4.7709999999999999</v>
      </c>
      <c r="T26" s="67"/>
      <c r="U26" s="51"/>
      <c r="V26" s="51"/>
      <c r="W26" s="51"/>
      <c r="X26" s="51"/>
      <c r="Y26" s="51"/>
      <c r="Z26" s="51"/>
      <c r="AA26" s="51"/>
      <c r="AB26" s="51"/>
      <c r="AC26" s="51"/>
      <c r="AD26" s="51"/>
      <c r="AE26" s="51"/>
    </row>
    <row r="27" spans="1:31" s="52" customFormat="1" ht="165" customHeight="1" x14ac:dyDescent="0.25">
      <c r="A27" s="20">
        <v>2</v>
      </c>
      <c r="B27" s="53" t="s">
        <v>61</v>
      </c>
      <c r="C27" s="29" t="s">
        <v>66</v>
      </c>
      <c r="D27" s="77">
        <v>38.143999999999998</v>
      </c>
      <c r="E27" s="77">
        <v>38.143999999999998</v>
      </c>
      <c r="F27" s="28"/>
      <c r="G27" s="9"/>
      <c r="H27" s="29"/>
      <c r="I27" s="29" t="s">
        <v>73</v>
      </c>
      <c r="J27" s="77"/>
      <c r="K27" s="77"/>
      <c r="L27" s="77"/>
      <c r="M27" s="77">
        <v>11.632</v>
      </c>
      <c r="N27" s="77">
        <v>15.579000000000001</v>
      </c>
      <c r="O27" s="77">
        <f>N27+M27</f>
        <v>27.210999999999999</v>
      </c>
      <c r="P27" s="77">
        <v>11.632</v>
      </c>
      <c r="Q27" s="77">
        <v>15.579000000000001</v>
      </c>
      <c r="R27" s="77">
        <f t="shared" si="1"/>
        <v>27.210999999999999</v>
      </c>
      <c r="S27" s="77"/>
      <c r="T27" s="67"/>
      <c r="U27" s="51"/>
      <c r="V27" s="51"/>
      <c r="W27" s="51"/>
      <c r="X27" s="51"/>
      <c r="Y27" s="51"/>
      <c r="Z27" s="51"/>
      <c r="AA27" s="51"/>
      <c r="AB27" s="51"/>
      <c r="AC27" s="51"/>
      <c r="AD27" s="51"/>
      <c r="AE27" s="51"/>
    </row>
    <row r="28" spans="1:31" s="52" customFormat="1" ht="115.5" customHeight="1" x14ac:dyDescent="0.25">
      <c r="A28" s="20">
        <v>3</v>
      </c>
      <c r="B28" s="55" t="s">
        <v>59</v>
      </c>
      <c r="C28" s="29" t="s">
        <v>64</v>
      </c>
      <c r="D28" s="85">
        <v>2.9630000000000001</v>
      </c>
      <c r="E28" s="85">
        <v>2.9630000000000001</v>
      </c>
      <c r="F28" s="28"/>
      <c r="G28" s="29"/>
      <c r="H28" s="29"/>
      <c r="I28" s="29" t="s">
        <v>73</v>
      </c>
      <c r="J28" s="77"/>
      <c r="K28" s="77"/>
      <c r="L28" s="77"/>
      <c r="M28" s="77">
        <v>2.169</v>
      </c>
      <c r="N28" s="77">
        <v>0.77700000000000002</v>
      </c>
      <c r="O28" s="77">
        <f>N28+M28</f>
        <v>2.9460000000000002</v>
      </c>
      <c r="P28" s="77">
        <v>2.169</v>
      </c>
      <c r="Q28" s="85">
        <v>0.77700000000000002</v>
      </c>
      <c r="R28" s="77">
        <f t="shared" si="1"/>
        <v>2.9460000000000002</v>
      </c>
      <c r="S28" s="77">
        <v>0.98099999999999998</v>
      </c>
      <c r="T28" s="67"/>
      <c r="U28" s="51"/>
      <c r="V28" s="51"/>
      <c r="W28" s="51"/>
      <c r="X28" s="51"/>
      <c r="Y28" s="51"/>
      <c r="Z28" s="51"/>
      <c r="AA28" s="51"/>
      <c r="AB28" s="51"/>
      <c r="AC28" s="51"/>
      <c r="AD28" s="51"/>
      <c r="AE28" s="51"/>
    </row>
    <row r="29" spans="1:31" s="52" customFormat="1" ht="64.5" customHeight="1" x14ac:dyDescent="0.25">
      <c r="A29" s="20">
        <v>4</v>
      </c>
      <c r="B29" s="53" t="s">
        <v>62</v>
      </c>
      <c r="C29" s="29" t="s">
        <v>63</v>
      </c>
      <c r="D29" s="77">
        <v>57.4</v>
      </c>
      <c r="E29" s="77">
        <v>57.4</v>
      </c>
      <c r="F29" s="28"/>
      <c r="G29" s="29"/>
      <c r="H29" s="29"/>
      <c r="I29" s="29" t="s">
        <v>71</v>
      </c>
      <c r="J29" s="77"/>
      <c r="K29" s="77"/>
      <c r="L29" s="77"/>
      <c r="M29" s="77">
        <v>0.84499999999999997</v>
      </c>
      <c r="N29" s="77">
        <v>16.486999999999998</v>
      </c>
      <c r="O29" s="77">
        <f t="shared" ref="O29:O31" si="2">N29+M29</f>
        <v>17.331999999999997</v>
      </c>
      <c r="P29" s="77">
        <v>0.84499999999999997</v>
      </c>
      <c r="Q29" s="77">
        <v>16.486999999999998</v>
      </c>
      <c r="R29" s="77">
        <f t="shared" ref="R29:R31" si="3">Q29+P29</f>
        <v>17.331999999999997</v>
      </c>
      <c r="S29" s="77"/>
      <c r="T29" s="67"/>
      <c r="U29" s="51"/>
      <c r="V29" s="51"/>
      <c r="W29" s="51"/>
      <c r="X29" s="51"/>
      <c r="Y29" s="51"/>
      <c r="Z29" s="51"/>
      <c r="AA29" s="51"/>
      <c r="AB29" s="51"/>
      <c r="AC29" s="51"/>
      <c r="AD29" s="51"/>
      <c r="AE29" s="51"/>
    </row>
    <row r="30" spans="1:31" s="52" customFormat="1" ht="87" customHeight="1" x14ac:dyDescent="0.25">
      <c r="A30" s="20">
        <v>5</v>
      </c>
      <c r="B30" s="53" t="s">
        <v>67</v>
      </c>
      <c r="C30" s="29" t="s">
        <v>68</v>
      </c>
      <c r="D30" s="77">
        <v>1.9477</v>
      </c>
      <c r="E30" s="77">
        <v>1.9477</v>
      </c>
      <c r="F30" s="28"/>
      <c r="G30" s="29"/>
      <c r="H30" s="29"/>
      <c r="I30" s="29" t="s">
        <v>74</v>
      </c>
      <c r="J30" s="77"/>
      <c r="K30" s="77"/>
      <c r="L30" s="77"/>
      <c r="M30" s="77">
        <v>0.58599999999999997</v>
      </c>
      <c r="N30" s="77">
        <v>1.302</v>
      </c>
      <c r="O30" s="77">
        <f t="shared" si="2"/>
        <v>1.8879999999999999</v>
      </c>
      <c r="P30" s="77">
        <v>0.58599999999999997</v>
      </c>
      <c r="Q30" s="77">
        <v>1.302</v>
      </c>
      <c r="R30" s="77">
        <f t="shared" si="3"/>
        <v>1.8879999999999999</v>
      </c>
      <c r="S30" s="77">
        <v>1.8879999999999999</v>
      </c>
      <c r="T30" s="67"/>
      <c r="U30" s="51"/>
      <c r="V30" s="51"/>
      <c r="W30" s="51"/>
      <c r="X30" s="51"/>
      <c r="Y30" s="51"/>
      <c r="Z30" s="51"/>
      <c r="AA30" s="51"/>
      <c r="AB30" s="51"/>
      <c r="AC30" s="51"/>
      <c r="AD30" s="51"/>
      <c r="AE30" s="51"/>
    </row>
    <row r="31" spans="1:31" s="52" customFormat="1" ht="90.75" customHeight="1" x14ac:dyDescent="0.25">
      <c r="A31" s="20">
        <v>6</v>
      </c>
      <c r="B31" s="53" t="s">
        <v>69</v>
      </c>
      <c r="C31" s="29" t="s">
        <v>70</v>
      </c>
      <c r="D31" s="77">
        <v>24.826000000000001</v>
      </c>
      <c r="E31" s="77">
        <v>24.826000000000001</v>
      </c>
      <c r="F31" s="28"/>
      <c r="G31" s="29"/>
      <c r="H31" s="29"/>
      <c r="I31" s="29" t="s">
        <v>72</v>
      </c>
      <c r="J31" s="77"/>
      <c r="K31" s="77"/>
      <c r="L31" s="77"/>
      <c r="M31" s="77">
        <f>0.07+7.335</f>
        <v>7.4050000000000002</v>
      </c>
      <c r="N31" s="77">
        <v>0.11700000000000001</v>
      </c>
      <c r="O31" s="77">
        <f t="shared" si="2"/>
        <v>7.5220000000000002</v>
      </c>
      <c r="P31" s="77">
        <f>0.07+7.335</f>
        <v>7.4050000000000002</v>
      </c>
      <c r="Q31" s="77">
        <v>0.11700000000000001</v>
      </c>
      <c r="R31" s="77">
        <f t="shared" si="3"/>
        <v>7.5220000000000002</v>
      </c>
      <c r="S31" s="77"/>
      <c r="T31" s="67"/>
      <c r="U31" s="51"/>
      <c r="V31" s="51"/>
      <c r="W31" s="51"/>
      <c r="X31" s="51"/>
      <c r="Y31" s="51"/>
      <c r="Z31" s="51"/>
      <c r="AA31" s="51"/>
      <c r="AB31" s="51"/>
      <c r="AC31" s="51"/>
      <c r="AD31" s="51"/>
      <c r="AE31" s="51"/>
    </row>
    <row r="32" spans="1:31" s="52" customFormat="1" x14ac:dyDescent="0.25">
      <c r="A32" s="20"/>
      <c r="B32" s="53"/>
      <c r="C32" s="29"/>
      <c r="D32" s="77"/>
      <c r="E32" s="77"/>
      <c r="F32" s="28"/>
      <c r="G32" s="29"/>
      <c r="H32" s="29"/>
      <c r="I32" s="29"/>
      <c r="J32" s="77"/>
      <c r="K32" s="77"/>
      <c r="L32" s="77"/>
      <c r="M32" s="77"/>
      <c r="N32" s="77"/>
      <c r="O32" s="77"/>
      <c r="P32" s="77"/>
      <c r="Q32" s="77"/>
      <c r="R32" s="77"/>
      <c r="S32" s="77"/>
      <c r="T32" s="67"/>
      <c r="U32" s="51"/>
      <c r="V32" s="51"/>
      <c r="W32" s="51"/>
      <c r="X32" s="51"/>
      <c r="Y32" s="51"/>
      <c r="Z32" s="51"/>
      <c r="AA32" s="51"/>
      <c r="AB32" s="51"/>
      <c r="AC32" s="51"/>
      <c r="AD32" s="51"/>
      <c r="AE32" s="51"/>
    </row>
    <row r="33" spans="1:31" s="37" customFormat="1" ht="21" customHeight="1" x14ac:dyDescent="0.25">
      <c r="A33" s="30" t="s">
        <v>30</v>
      </c>
      <c r="B33" s="31" t="s">
        <v>31</v>
      </c>
      <c r="C33" s="35"/>
      <c r="D33" s="88"/>
      <c r="E33" s="88"/>
      <c r="F33" s="33"/>
      <c r="G33" s="34"/>
      <c r="H33" s="34"/>
      <c r="I33" s="34"/>
      <c r="J33" s="86"/>
      <c r="K33" s="86"/>
      <c r="L33" s="86"/>
      <c r="M33" s="87"/>
      <c r="N33" s="88"/>
      <c r="O33" s="88"/>
      <c r="P33" s="87"/>
      <c r="Q33" s="88"/>
      <c r="R33" s="88"/>
      <c r="S33" s="88"/>
      <c r="T33" s="72"/>
      <c r="U33" s="1"/>
      <c r="V33" s="1"/>
      <c r="W33" s="1"/>
      <c r="X33" s="1"/>
      <c r="Y33" s="1"/>
      <c r="Z33" s="1"/>
      <c r="AA33" s="1"/>
      <c r="AB33" s="1"/>
      <c r="AC33" s="1"/>
      <c r="AD33" s="1"/>
      <c r="AE33" s="1"/>
    </row>
    <row r="34" spans="1:31" s="37" customFormat="1" ht="16.5" x14ac:dyDescent="0.25">
      <c r="A34" s="38"/>
      <c r="B34" s="39"/>
      <c r="C34" s="35"/>
      <c r="D34" s="88"/>
      <c r="E34" s="88"/>
      <c r="F34" s="33"/>
      <c r="G34" s="34"/>
      <c r="H34" s="34"/>
      <c r="I34" s="34"/>
      <c r="J34" s="86"/>
      <c r="K34" s="86"/>
      <c r="L34" s="86"/>
      <c r="M34" s="87"/>
      <c r="N34" s="88"/>
      <c r="O34" s="88"/>
      <c r="P34" s="87"/>
      <c r="Q34" s="88"/>
      <c r="R34" s="88"/>
      <c r="S34" s="88"/>
      <c r="T34" s="72"/>
      <c r="U34" s="1"/>
      <c r="V34" s="1"/>
      <c r="W34" s="1"/>
      <c r="X34" s="1"/>
      <c r="Y34" s="1"/>
      <c r="Z34" s="1"/>
      <c r="AA34" s="1"/>
      <c r="AB34" s="1"/>
      <c r="AC34" s="1"/>
      <c r="AD34" s="1"/>
      <c r="AE34" s="1"/>
    </row>
    <row r="35" spans="1:31" s="43" customFormat="1" ht="25.5" customHeight="1" x14ac:dyDescent="0.25">
      <c r="A35" s="29"/>
      <c r="B35" s="40" t="s">
        <v>34</v>
      </c>
      <c r="C35" s="61"/>
      <c r="D35" s="89">
        <f>SUM(D25:D34)</f>
        <v>130.05169999999998</v>
      </c>
      <c r="E35" s="89">
        <f>SUM(E25:E34)</f>
        <v>130.05169999999998</v>
      </c>
      <c r="F35" s="41"/>
      <c r="G35" s="41"/>
      <c r="H35" s="41"/>
      <c r="I35" s="41"/>
      <c r="J35" s="89"/>
      <c r="K35" s="89"/>
      <c r="L35" s="89"/>
      <c r="M35" s="89">
        <f t="shared" ref="M35:S35" si="4">SUM(M25:M34)</f>
        <v>24.091999999999999</v>
      </c>
      <c r="N35" s="89">
        <f t="shared" si="4"/>
        <v>37.576999999999998</v>
      </c>
      <c r="O35" s="89">
        <f t="shared" si="4"/>
        <v>61.668999999999997</v>
      </c>
      <c r="P35" s="89">
        <f t="shared" si="4"/>
        <v>24.091999999999999</v>
      </c>
      <c r="Q35" s="89">
        <f t="shared" si="4"/>
        <v>37.576999999999998</v>
      </c>
      <c r="R35" s="89">
        <f t="shared" si="4"/>
        <v>61.668999999999997</v>
      </c>
      <c r="S35" s="89">
        <f t="shared" si="4"/>
        <v>7.64</v>
      </c>
      <c r="T35" s="71"/>
      <c r="U35" s="42"/>
      <c r="V35" s="42"/>
      <c r="W35" s="42"/>
      <c r="X35" s="42"/>
      <c r="Y35" s="42"/>
      <c r="Z35" s="42"/>
      <c r="AA35" s="42"/>
      <c r="AB35" s="42"/>
      <c r="AC35" s="42"/>
      <c r="AD35" s="42"/>
      <c r="AE35" s="42"/>
    </row>
    <row r="36" spans="1:31" s="43" customFormat="1" ht="25.5" customHeight="1" x14ac:dyDescent="0.25">
      <c r="A36" s="29"/>
      <c r="B36" s="40" t="s">
        <v>35</v>
      </c>
      <c r="C36" s="61"/>
      <c r="D36" s="89">
        <f t="shared" ref="D36:S36" si="5">D14+D22+D35</f>
        <v>254.5367</v>
      </c>
      <c r="E36" s="89">
        <f t="shared" si="5"/>
        <v>254.5367</v>
      </c>
      <c r="F36" s="41">
        <f t="shared" si="5"/>
        <v>0</v>
      </c>
      <c r="G36" s="41">
        <f t="shared" si="5"/>
        <v>0</v>
      </c>
      <c r="H36" s="41">
        <f>G27+H22+H35</f>
        <v>0</v>
      </c>
      <c r="I36" s="41">
        <f t="shared" si="5"/>
        <v>0</v>
      </c>
      <c r="J36" s="89">
        <f t="shared" si="5"/>
        <v>0</v>
      </c>
      <c r="K36" s="89">
        <f t="shared" si="5"/>
        <v>0</v>
      </c>
      <c r="L36" s="89">
        <f t="shared" si="5"/>
        <v>0</v>
      </c>
      <c r="M36" s="89">
        <f t="shared" si="5"/>
        <v>25.564999999999998</v>
      </c>
      <c r="N36" s="89">
        <f t="shared" si="5"/>
        <v>69.864000000000004</v>
      </c>
      <c r="O36" s="89">
        <f t="shared" si="5"/>
        <v>95.429000000000002</v>
      </c>
      <c r="P36" s="89">
        <f t="shared" si="5"/>
        <v>25.564999999999998</v>
      </c>
      <c r="Q36" s="89">
        <f t="shared" si="5"/>
        <v>69.864000000000004</v>
      </c>
      <c r="R36" s="89">
        <f t="shared" si="5"/>
        <v>95.429000000000002</v>
      </c>
      <c r="S36" s="89">
        <f t="shared" si="5"/>
        <v>7.64</v>
      </c>
      <c r="T36" s="71"/>
      <c r="U36" s="42"/>
      <c r="V36" s="42"/>
      <c r="W36" s="42"/>
      <c r="X36" s="42"/>
      <c r="Y36" s="42"/>
      <c r="Z36" s="42"/>
      <c r="AA36" s="42"/>
      <c r="AB36" s="42"/>
      <c r="AC36" s="42"/>
      <c r="AD36" s="42"/>
      <c r="AE36" s="42"/>
    </row>
    <row r="37" spans="1:31" s="43" customFormat="1" x14ac:dyDescent="0.25">
      <c r="A37" s="51"/>
      <c r="B37" s="44"/>
      <c r="C37" s="42"/>
      <c r="D37" s="45"/>
      <c r="E37" s="45"/>
      <c r="F37" s="45"/>
      <c r="G37" s="45"/>
      <c r="H37" s="45"/>
      <c r="I37" s="45"/>
      <c r="J37" s="45"/>
      <c r="K37" s="45"/>
      <c r="L37" s="45"/>
      <c r="M37" s="45"/>
      <c r="N37" s="45"/>
      <c r="O37" s="45"/>
      <c r="P37" s="45"/>
      <c r="Q37" s="45"/>
      <c r="R37" s="45"/>
      <c r="S37" s="45"/>
      <c r="T37" s="71"/>
      <c r="U37" s="42"/>
      <c r="V37" s="42"/>
      <c r="W37" s="42"/>
      <c r="X37" s="42"/>
      <c r="Y37" s="42"/>
      <c r="Z37" s="42"/>
      <c r="AA37" s="42"/>
      <c r="AB37" s="42"/>
      <c r="AC37" s="42"/>
      <c r="AD37" s="42"/>
      <c r="AE37" s="42"/>
    </row>
    <row r="38" spans="1:31" s="43" customFormat="1" x14ac:dyDescent="0.25">
      <c r="A38" s="51"/>
      <c r="B38" s="44"/>
      <c r="C38" s="42"/>
      <c r="D38" s="45"/>
      <c r="E38" s="45"/>
      <c r="F38" s="45"/>
      <c r="G38" s="45"/>
      <c r="H38" s="45"/>
      <c r="I38" s="45"/>
      <c r="J38" s="45"/>
      <c r="K38" s="45"/>
      <c r="L38" s="45"/>
      <c r="M38" s="45"/>
      <c r="N38" s="45"/>
      <c r="O38" s="45"/>
      <c r="P38" s="45"/>
      <c r="Q38" s="45"/>
      <c r="R38" s="45"/>
      <c r="S38" s="45"/>
      <c r="T38" s="71"/>
      <c r="U38" s="42"/>
      <c r="V38" s="42"/>
      <c r="W38" s="42"/>
      <c r="X38" s="42"/>
      <c r="Y38" s="42"/>
      <c r="Z38" s="42"/>
      <c r="AA38" s="42"/>
      <c r="AB38" s="42"/>
      <c r="AC38" s="42"/>
      <c r="AD38" s="42"/>
      <c r="AE38" s="42"/>
    </row>
    <row r="39" spans="1:31" s="46" customFormat="1" ht="21.75" customHeight="1" x14ac:dyDescent="0.3">
      <c r="A39" s="56"/>
      <c r="B39" s="105" t="s">
        <v>85</v>
      </c>
      <c r="C39" s="105"/>
      <c r="F39" s="47"/>
      <c r="L39" s="99" t="s">
        <v>80</v>
      </c>
      <c r="M39" s="99"/>
      <c r="N39" s="99"/>
      <c r="O39" s="99"/>
      <c r="P39" s="99"/>
      <c r="Q39" s="99"/>
      <c r="R39" s="99"/>
      <c r="S39" s="99"/>
      <c r="T39" s="73"/>
    </row>
    <row r="40" spans="1:31" x14ac:dyDescent="0.25">
      <c r="A40" s="52"/>
      <c r="C40" s="5"/>
      <c r="D40" s="5"/>
      <c r="E40" s="5"/>
      <c r="F40" s="48"/>
      <c r="G40" s="5"/>
      <c r="H40" s="5"/>
      <c r="I40" s="5"/>
      <c r="J40" s="5"/>
      <c r="K40" s="5"/>
      <c r="L40" s="5"/>
      <c r="M40" s="5"/>
      <c r="N40" s="5"/>
      <c r="O40" s="5"/>
      <c r="P40" s="5"/>
      <c r="Q40" s="5"/>
      <c r="R40" s="5"/>
      <c r="S40" s="5"/>
      <c r="T40" s="68"/>
      <c r="U40" s="5"/>
      <c r="V40" s="5"/>
      <c r="W40" s="5"/>
      <c r="X40" s="5"/>
      <c r="Y40" s="5"/>
      <c r="Z40" s="5"/>
      <c r="AA40" s="5"/>
      <c r="AB40" s="5"/>
      <c r="AC40" s="5"/>
      <c r="AD40" s="5"/>
      <c r="AE40" s="5"/>
    </row>
    <row r="42" spans="1:31" x14ac:dyDescent="0.25">
      <c r="A42" s="52"/>
      <c r="C42" s="5"/>
      <c r="D42" s="5"/>
      <c r="E42" s="5"/>
      <c r="F42" s="48"/>
      <c r="G42" s="5"/>
      <c r="H42" s="5"/>
      <c r="I42" s="5"/>
      <c r="J42" s="5"/>
      <c r="K42" s="5"/>
      <c r="L42" s="5"/>
      <c r="M42" s="5"/>
      <c r="N42" s="5"/>
      <c r="O42" s="5"/>
      <c r="P42" s="5"/>
      <c r="Q42" s="5"/>
      <c r="R42" s="5"/>
      <c r="S42" s="5"/>
      <c r="T42" s="68"/>
      <c r="U42" s="5"/>
      <c r="V42" s="5"/>
      <c r="W42" s="5"/>
      <c r="X42" s="5"/>
      <c r="Y42" s="5"/>
      <c r="Z42" s="5"/>
      <c r="AA42" s="5"/>
      <c r="AB42" s="5"/>
      <c r="AC42" s="5"/>
      <c r="AD42" s="5"/>
      <c r="AE42" s="5"/>
    </row>
    <row r="44" spans="1:31" s="43" customFormat="1" ht="15.75" customHeight="1" x14ac:dyDescent="0.25">
      <c r="A44" s="74"/>
      <c r="B44" s="95" t="s">
        <v>77</v>
      </c>
      <c r="C44" s="95"/>
      <c r="D44" s="75"/>
      <c r="E44" s="75"/>
      <c r="F44" s="76"/>
      <c r="G44" s="42"/>
      <c r="H44" s="42"/>
      <c r="I44" s="42"/>
      <c r="J44" s="42"/>
      <c r="K44" s="42"/>
      <c r="L44" s="96" t="s">
        <v>81</v>
      </c>
      <c r="M44" s="96"/>
      <c r="N44" s="96"/>
      <c r="O44" s="96"/>
      <c r="P44" s="96"/>
      <c r="Q44" s="96"/>
      <c r="R44" s="96"/>
      <c r="S44" s="96"/>
      <c r="T44" s="71"/>
      <c r="U44" s="42"/>
      <c r="V44" s="42"/>
      <c r="W44" s="42"/>
      <c r="X44" s="42"/>
      <c r="Y44" s="42"/>
      <c r="Z44" s="42"/>
      <c r="AA44" s="42"/>
      <c r="AB44" s="42"/>
      <c r="AC44" s="42"/>
      <c r="AD44" s="42"/>
      <c r="AE44" s="42"/>
    </row>
  </sheetData>
  <mergeCells count="23">
    <mergeCell ref="B44:C44"/>
    <mergeCell ref="L44:S44"/>
    <mergeCell ref="A4:C4"/>
    <mergeCell ref="A5:C5"/>
    <mergeCell ref="L39:S39"/>
    <mergeCell ref="A8:S8"/>
    <mergeCell ref="Q9:S9"/>
    <mergeCell ref="A10:A11"/>
    <mergeCell ref="B10:B11"/>
    <mergeCell ref="C10:C11"/>
    <mergeCell ref="D10:H10"/>
    <mergeCell ref="I10:I11"/>
    <mergeCell ref="J10:L10"/>
    <mergeCell ref="M10:O10"/>
    <mergeCell ref="P10:R10"/>
    <mergeCell ref="B39:C39"/>
    <mergeCell ref="A7:S7"/>
    <mergeCell ref="A1:B1"/>
    <mergeCell ref="R1:S1"/>
    <mergeCell ref="A2:B2"/>
    <mergeCell ref="A3:S3"/>
    <mergeCell ref="A6:S6"/>
    <mergeCell ref="R4:S4"/>
  </mergeCells>
  <pageMargins left="0.15748031496062992" right="0.15748031496062992" top="0.39370078740157483" bottom="0.35433070866141736"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0"/>
  <sheetViews>
    <sheetView tabSelected="1" topLeftCell="A4" zoomScale="85" zoomScaleNormal="85" workbookViewId="0">
      <pane xSplit="15" ySplit="15" topLeftCell="P46" activePane="bottomRight" state="frozen"/>
      <selection activeCell="A4" sqref="A4"/>
      <selection pane="topRight" activeCell="P4" sqref="P4"/>
      <selection pane="bottomLeft" activeCell="A17" sqref="A17"/>
      <selection pane="bottomRight" activeCell="H13" sqref="H13"/>
    </sheetView>
  </sheetViews>
  <sheetFormatPr defaultColWidth="8.7109375" defaultRowHeight="15.75" x14ac:dyDescent="0.25"/>
  <cols>
    <col min="1" max="1" width="4.28515625" style="51" bestFit="1" customWidth="1"/>
    <col min="2" max="2" width="29.28515625" style="7" bestFit="1" customWidth="1"/>
    <col min="3" max="3" width="14.7109375" style="4" customWidth="1"/>
    <col min="4" max="4" width="7.28515625" style="2" customWidth="1"/>
    <col min="5" max="5" width="12.42578125" style="2" bestFit="1" customWidth="1"/>
    <col min="6" max="6" width="4.28515625" style="3" customWidth="1"/>
    <col min="7" max="7" width="6.42578125" style="4" customWidth="1"/>
    <col min="8" max="8" width="4.28515625" style="4" customWidth="1"/>
    <col min="9" max="9" width="13.140625" style="4" customWidth="1"/>
    <col min="10" max="10" width="8.140625" style="4" customWidth="1"/>
    <col min="11" max="11" width="10.7109375" style="4" customWidth="1"/>
    <col min="12" max="12" width="8" style="4" customWidth="1"/>
    <col min="13" max="13" width="9.28515625" style="4" customWidth="1"/>
    <col min="14" max="14" width="9.7109375" style="2" customWidth="1"/>
    <col min="15" max="15" width="13" style="2" customWidth="1"/>
    <col min="16" max="16" width="11.140625" style="3" customWidth="1"/>
    <col min="17" max="17" width="10.42578125" style="2" customWidth="1"/>
    <col min="18" max="18" width="14.28515625" style="2" customWidth="1"/>
    <col min="19" max="19" width="15.42578125" style="2" customWidth="1"/>
    <col min="20" max="20" width="21.7109375" style="67" customWidth="1"/>
    <col min="21" max="31" width="8.7109375" style="4"/>
    <col min="32" max="16384" width="8.7109375" style="5"/>
  </cols>
  <sheetData>
    <row r="1" spans="1:31" ht="28.5" customHeight="1" x14ac:dyDescent="0.3">
      <c r="A1" s="91" t="s">
        <v>0</v>
      </c>
      <c r="B1" s="91"/>
      <c r="C1" s="1"/>
      <c r="D1" s="1"/>
      <c r="R1" s="90" t="s">
        <v>1</v>
      </c>
      <c r="S1" s="90"/>
      <c r="T1" s="68"/>
      <c r="U1" s="5"/>
      <c r="V1" s="5"/>
      <c r="W1" s="5"/>
      <c r="X1" s="5"/>
      <c r="Y1" s="5"/>
      <c r="Z1" s="5"/>
      <c r="AA1" s="5"/>
      <c r="AB1" s="5"/>
      <c r="AC1" s="5"/>
      <c r="AD1" s="5"/>
      <c r="AE1" s="5"/>
    </row>
    <row r="2" spans="1:31" x14ac:dyDescent="0.25">
      <c r="A2" s="92" t="s">
        <v>57</v>
      </c>
      <c r="B2" s="92"/>
    </row>
    <row r="3" spans="1:31" s="6" customFormat="1" ht="18.75" x14ac:dyDescent="0.3">
      <c r="A3" s="93" t="s">
        <v>2</v>
      </c>
      <c r="B3" s="93"/>
      <c r="C3" s="93"/>
      <c r="D3" s="93"/>
      <c r="E3" s="93"/>
      <c r="F3" s="93"/>
      <c r="G3" s="93"/>
      <c r="H3" s="93"/>
      <c r="I3" s="93"/>
      <c r="J3" s="93"/>
      <c r="K3" s="93"/>
      <c r="L3" s="93"/>
      <c r="M3" s="93"/>
      <c r="N3" s="93"/>
      <c r="O3" s="93"/>
      <c r="P3" s="93"/>
      <c r="Q3" s="93"/>
      <c r="R3" s="93"/>
      <c r="S3" s="93"/>
      <c r="T3" s="69"/>
    </row>
    <row r="4" spans="1:31" s="52" customFormat="1" ht="28.5" customHeight="1" x14ac:dyDescent="0.25">
      <c r="A4" s="97" t="s">
        <v>0</v>
      </c>
      <c r="B4" s="97"/>
      <c r="C4" s="97"/>
      <c r="D4" s="64"/>
      <c r="E4" s="65"/>
      <c r="F4" s="66"/>
      <c r="G4" s="51"/>
      <c r="H4" s="51"/>
      <c r="I4" s="51"/>
      <c r="J4" s="51"/>
      <c r="K4" s="51"/>
      <c r="L4" s="51"/>
      <c r="M4" s="51"/>
      <c r="N4" s="65"/>
      <c r="O4" s="66"/>
      <c r="P4" s="66"/>
      <c r="Q4" s="65"/>
      <c r="R4" s="94" t="s">
        <v>1</v>
      </c>
      <c r="S4" s="94"/>
    </row>
    <row r="5" spans="1:31" s="52" customFormat="1" ht="15.75" customHeight="1" x14ac:dyDescent="0.25">
      <c r="A5" s="98" t="s">
        <v>57</v>
      </c>
      <c r="B5" s="98"/>
      <c r="C5" s="98"/>
      <c r="D5" s="66"/>
      <c r="E5" s="65"/>
      <c r="F5" s="66"/>
      <c r="G5" s="51"/>
      <c r="H5" s="51"/>
      <c r="I5" s="51"/>
      <c r="J5" s="51"/>
      <c r="K5" s="51"/>
      <c r="L5" s="51"/>
      <c r="M5" s="51"/>
      <c r="N5" s="65"/>
      <c r="O5" s="66"/>
      <c r="P5" s="66"/>
      <c r="Q5" s="65"/>
      <c r="R5" s="65"/>
      <c r="S5" s="65"/>
      <c r="T5" s="51"/>
      <c r="U5" s="51"/>
      <c r="V5" s="51"/>
      <c r="W5" s="51"/>
      <c r="X5" s="51"/>
      <c r="Y5" s="51"/>
      <c r="Z5" s="51"/>
      <c r="AA5" s="51"/>
      <c r="AB5" s="51"/>
      <c r="AC5" s="51"/>
      <c r="AD5" s="51"/>
      <c r="AE5" s="51"/>
    </row>
    <row r="6" spans="1:31" s="6" customFormat="1" ht="18.75" x14ac:dyDescent="0.3">
      <c r="A6" s="93" t="s">
        <v>3</v>
      </c>
      <c r="B6" s="93"/>
      <c r="C6" s="93"/>
      <c r="D6" s="93"/>
      <c r="E6" s="93"/>
      <c r="F6" s="93"/>
      <c r="G6" s="93"/>
      <c r="H6" s="93"/>
      <c r="I6" s="93"/>
      <c r="J6" s="93"/>
      <c r="K6" s="93"/>
      <c r="L6" s="93"/>
      <c r="M6" s="93"/>
      <c r="N6" s="93"/>
      <c r="O6" s="93"/>
      <c r="P6" s="93"/>
      <c r="Q6" s="93"/>
      <c r="R6" s="93"/>
      <c r="S6" s="93"/>
      <c r="T6" s="69"/>
    </row>
    <row r="7" spans="1:31" s="6" customFormat="1" ht="18.75" x14ac:dyDescent="0.3">
      <c r="A7" s="90" t="s">
        <v>4</v>
      </c>
      <c r="B7" s="90"/>
      <c r="C7" s="90"/>
      <c r="D7" s="90"/>
      <c r="E7" s="90"/>
      <c r="F7" s="90"/>
      <c r="G7" s="90"/>
      <c r="H7" s="90"/>
      <c r="I7" s="90"/>
      <c r="J7" s="90"/>
      <c r="K7" s="90"/>
      <c r="L7" s="90"/>
      <c r="M7" s="90"/>
      <c r="N7" s="90"/>
      <c r="O7" s="90"/>
      <c r="P7" s="90"/>
      <c r="Q7" s="90"/>
      <c r="R7" s="90"/>
      <c r="S7" s="90"/>
      <c r="T7" s="69"/>
    </row>
    <row r="8" spans="1:31" s="6" customFormat="1" ht="18.75" x14ac:dyDescent="0.3">
      <c r="A8" s="90" t="s">
        <v>82</v>
      </c>
      <c r="B8" s="90"/>
      <c r="C8" s="90"/>
      <c r="D8" s="90"/>
      <c r="E8" s="90"/>
      <c r="F8" s="90"/>
      <c r="G8" s="90"/>
      <c r="H8" s="90"/>
      <c r="I8" s="90"/>
      <c r="J8" s="90"/>
      <c r="K8" s="90"/>
      <c r="L8" s="90"/>
      <c r="M8" s="90"/>
      <c r="N8" s="90"/>
      <c r="O8" s="90"/>
      <c r="P8" s="90"/>
      <c r="Q8" s="90"/>
      <c r="R8" s="90"/>
      <c r="S8" s="90"/>
      <c r="T8" s="69"/>
    </row>
    <row r="9" spans="1:31" ht="15.6" customHeight="1" x14ac:dyDescent="0.25">
      <c r="A9" s="52"/>
      <c r="Q9" s="100" t="s">
        <v>76</v>
      </c>
      <c r="R9" s="100"/>
      <c r="S9" s="100"/>
      <c r="T9" s="68"/>
      <c r="U9" s="5"/>
      <c r="V9" s="5"/>
      <c r="W9" s="5"/>
      <c r="X9" s="5"/>
      <c r="Y9" s="5"/>
      <c r="Z9" s="5"/>
      <c r="AA9" s="5"/>
      <c r="AB9" s="5"/>
      <c r="AC9" s="5"/>
      <c r="AD9" s="5"/>
      <c r="AE9" s="5"/>
    </row>
    <row r="10" spans="1:31" ht="39.950000000000003" customHeight="1" x14ac:dyDescent="0.25">
      <c r="A10" s="101" t="s">
        <v>5</v>
      </c>
      <c r="B10" s="102" t="s">
        <v>6</v>
      </c>
      <c r="C10" s="101" t="s">
        <v>7</v>
      </c>
      <c r="D10" s="101" t="s">
        <v>8</v>
      </c>
      <c r="E10" s="101"/>
      <c r="F10" s="101"/>
      <c r="G10" s="101"/>
      <c r="H10" s="101"/>
      <c r="I10" s="101" t="s">
        <v>9</v>
      </c>
      <c r="J10" s="101" t="s">
        <v>10</v>
      </c>
      <c r="K10" s="101"/>
      <c r="L10" s="101"/>
      <c r="M10" s="101" t="s">
        <v>79</v>
      </c>
      <c r="N10" s="101"/>
      <c r="O10" s="101"/>
      <c r="P10" s="104" t="s">
        <v>83</v>
      </c>
      <c r="Q10" s="104"/>
      <c r="R10" s="104"/>
      <c r="S10" s="8"/>
      <c r="T10" s="68"/>
      <c r="U10" s="5"/>
      <c r="V10" s="5"/>
      <c r="W10" s="5"/>
      <c r="X10" s="5"/>
      <c r="Y10" s="5"/>
      <c r="Z10" s="5"/>
      <c r="AA10" s="5"/>
      <c r="AB10" s="5"/>
      <c r="AC10" s="5"/>
      <c r="AD10" s="5"/>
      <c r="AE10" s="5"/>
    </row>
    <row r="11" spans="1:31" ht="63" x14ac:dyDescent="0.25">
      <c r="A11" s="101"/>
      <c r="B11" s="102"/>
      <c r="C11" s="101"/>
      <c r="D11" s="8" t="s">
        <v>11</v>
      </c>
      <c r="E11" s="8" t="s">
        <v>12</v>
      </c>
      <c r="F11" s="50" t="s">
        <v>13</v>
      </c>
      <c r="G11" s="49" t="s">
        <v>14</v>
      </c>
      <c r="H11" s="49" t="s">
        <v>13</v>
      </c>
      <c r="I11" s="101"/>
      <c r="J11" s="49" t="s">
        <v>15</v>
      </c>
      <c r="K11" s="49" t="s">
        <v>16</v>
      </c>
      <c r="L11" s="49" t="s">
        <v>17</v>
      </c>
      <c r="M11" s="49" t="s">
        <v>18</v>
      </c>
      <c r="N11" s="8" t="s">
        <v>19</v>
      </c>
      <c r="O11" s="8" t="s">
        <v>84</v>
      </c>
      <c r="P11" s="50" t="s">
        <v>18</v>
      </c>
      <c r="Q11" s="8" t="s">
        <v>19</v>
      </c>
      <c r="R11" s="8" t="s">
        <v>84</v>
      </c>
      <c r="S11" s="8" t="s">
        <v>20</v>
      </c>
      <c r="T11" s="68"/>
      <c r="U11" s="5"/>
      <c r="V11" s="5"/>
      <c r="W11" s="5"/>
      <c r="X11" s="5"/>
      <c r="Y11" s="5"/>
      <c r="Z11" s="5"/>
      <c r="AA11" s="5"/>
      <c r="AB11" s="5"/>
      <c r="AC11" s="5"/>
      <c r="AD11" s="5"/>
      <c r="AE11" s="5"/>
    </row>
    <row r="12" spans="1:31" x14ac:dyDescent="0.25">
      <c r="A12" s="9" t="s">
        <v>36</v>
      </c>
      <c r="B12" s="9" t="s">
        <v>37</v>
      </c>
      <c r="C12" s="57" t="s">
        <v>38</v>
      </c>
      <c r="D12" s="9" t="s">
        <v>39</v>
      </c>
      <c r="E12" s="9" t="s">
        <v>40</v>
      </c>
      <c r="F12" s="9" t="s">
        <v>41</v>
      </c>
      <c r="G12" s="9" t="s">
        <v>42</v>
      </c>
      <c r="H12" s="9" t="s">
        <v>43</v>
      </c>
      <c r="I12" s="9" t="s">
        <v>44</v>
      </c>
      <c r="J12" s="9" t="s">
        <v>45</v>
      </c>
      <c r="K12" s="9" t="s">
        <v>46</v>
      </c>
      <c r="L12" s="9" t="s">
        <v>47</v>
      </c>
      <c r="M12" s="9" t="s">
        <v>48</v>
      </c>
      <c r="N12" s="9" t="s">
        <v>49</v>
      </c>
      <c r="O12" s="9" t="s">
        <v>50</v>
      </c>
      <c r="P12" s="9" t="s">
        <v>51</v>
      </c>
      <c r="Q12" s="9" t="s">
        <v>52</v>
      </c>
      <c r="R12" s="9" t="s">
        <v>53</v>
      </c>
      <c r="S12" s="9" t="s">
        <v>54</v>
      </c>
      <c r="T12" s="68"/>
      <c r="U12" s="5"/>
      <c r="V12" s="5"/>
      <c r="W12" s="5"/>
      <c r="X12" s="5"/>
      <c r="Y12" s="5"/>
      <c r="Z12" s="5"/>
      <c r="AA12" s="5"/>
      <c r="AB12" s="5"/>
      <c r="AC12" s="5"/>
      <c r="AD12" s="5"/>
      <c r="AE12" s="5"/>
    </row>
    <row r="13" spans="1:31" x14ac:dyDescent="0.25">
      <c r="A13" s="20" t="s">
        <v>21</v>
      </c>
      <c r="B13" s="10" t="s">
        <v>22</v>
      </c>
      <c r="C13" s="13"/>
      <c r="D13" s="11"/>
      <c r="E13" s="11"/>
      <c r="F13" s="12"/>
      <c r="G13" s="13"/>
      <c r="H13" s="9"/>
      <c r="I13" s="13"/>
      <c r="J13" s="13"/>
      <c r="K13" s="13"/>
      <c r="L13" s="13"/>
      <c r="M13" s="13"/>
      <c r="N13" s="11"/>
      <c r="O13" s="11"/>
      <c r="P13" s="12"/>
      <c r="Q13" s="11"/>
      <c r="R13" s="11"/>
      <c r="S13" s="11"/>
      <c r="T13" s="68"/>
      <c r="U13" s="5"/>
      <c r="V13" s="5"/>
      <c r="W13" s="5"/>
      <c r="X13" s="5"/>
      <c r="Y13" s="5"/>
      <c r="Z13" s="5"/>
      <c r="AA13" s="5"/>
      <c r="AB13" s="5"/>
      <c r="AC13" s="5"/>
      <c r="AD13" s="5"/>
      <c r="AE13" s="5"/>
    </row>
    <row r="14" spans="1:31" x14ac:dyDescent="0.25">
      <c r="A14" s="20"/>
      <c r="B14" s="14" t="s">
        <v>23</v>
      </c>
      <c r="C14" s="13"/>
      <c r="D14" s="11"/>
      <c r="E14" s="11"/>
      <c r="F14" s="12"/>
      <c r="G14" s="13"/>
      <c r="H14" s="9"/>
      <c r="I14" s="13"/>
      <c r="J14" s="13"/>
      <c r="K14" s="13"/>
      <c r="L14" s="13"/>
      <c r="M14" s="13"/>
      <c r="N14" s="11"/>
      <c r="O14" s="11"/>
      <c r="P14" s="12"/>
      <c r="Q14" s="11"/>
      <c r="R14" s="11"/>
      <c r="S14" s="11"/>
      <c r="T14" s="68"/>
      <c r="U14" s="5"/>
      <c r="V14" s="5"/>
      <c r="W14" s="5"/>
      <c r="X14" s="5"/>
      <c r="Y14" s="5"/>
      <c r="Z14" s="5"/>
      <c r="AA14" s="5"/>
      <c r="AB14" s="5"/>
      <c r="AC14" s="5"/>
      <c r="AD14" s="5"/>
      <c r="AE14" s="5"/>
    </row>
    <row r="15" spans="1:31" s="43" customFormat="1" x14ac:dyDescent="0.25">
      <c r="A15" s="49" t="s">
        <v>24</v>
      </c>
      <c r="B15" s="10" t="s">
        <v>25</v>
      </c>
      <c r="C15" s="61"/>
      <c r="D15" s="63"/>
      <c r="E15" s="63"/>
      <c r="F15" s="63"/>
      <c r="G15" s="63"/>
      <c r="H15" s="63"/>
      <c r="I15" s="63"/>
      <c r="J15" s="63"/>
      <c r="K15" s="63"/>
      <c r="L15" s="63"/>
      <c r="M15" s="63"/>
      <c r="N15" s="63"/>
      <c r="O15" s="63"/>
      <c r="P15" s="63"/>
      <c r="Q15" s="63"/>
      <c r="R15" s="63"/>
      <c r="S15" s="63"/>
      <c r="T15" s="70"/>
    </row>
    <row r="16" spans="1:31" s="19" customFormat="1" hidden="1" x14ac:dyDescent="0.25">
      <c r="A16" s="20" t="s">
        <v>26</v>
      </c>
      <c r="B16" s="15" t="s">
        <v>27</v>
      </c>
      <c r="C16" s="58"/>
      <c r="D16" s="16"/>
      <c r="E16" s="16"/>
      <c r="F16" s="17"/>
      <c r="G16" s="16"/>
      <c r="H16" s="16"/>
      <c r="I16" s="16"/>
      <c r="J16" s="16"/>
      <c r="K16" s="16"/>
      <c r="L16" s="16"/>
      <c r="M16" s="16"/>
      <c r="N16" s="16"/>
      <c r="O16" s="16"/>
      <c r="P16" s="16"/>
      <c r="Q16" s="16"/>
      <c r="R16" s="16"/>
      <c r="S16" s="16"/>
      <c r="T16" s="67"/>
      <c r="U16" s="18"/>
      <c r="V16" s="18"/>
      <c r="W16" s="18"/>
      <c r="X16" s="18"/>
      <c r="Y16" s="18"/>
      <c r="Z16" s="18"/>
      <c r="AA16" s="18"/>
      <c r="AB16" s="18"/>
      <c r="AC16" s="18"/>
      <c r="AD16" s="18"/>
      <c r="AE16" s="18"/>
    </row>
    <row r="17" spans="1:31" s="19" customFormat="1" hidden="1" x14ac:dyDescent="0.25">
      <c r="A17" s="20"/>
      <c r="B17" s="15" t="s">
        <v>23</v>
      </c>
      <c r="C17" s="58"/>
      <c r="D17" s="16"/>
      <c r="E17" s="16"/>
      <c r="F17" s="17"/>
      <c r="G17" s="16"/>
      <c r="H17" s="16"/>
      <c r="I17" s="16"/>
      <c r="J17" s="16"/>
      <c r="K17" s="16"/>
      <c r="L17" s="16"/>
      <c r="M17" s="16"/>
      <c r="N17" s="16"/>
      <c r="O17" s="16"/>
      <c r="P17" s="16"/>
      <c r="Q17" s="16"/>
      <c r="R17" s="16"/>
      <c r="S17" s="16"/>
      <c r="T17" s="67"/>
      <c r="U17" s="18"/>
      <c r="V17" s="18"/>
      <c r="W17" s="18"/>
      <c r="X17" s="18"/>
      <c r="Y17" s="18"/>
      <c r="Z17" s="18"/>
      <c r="AA17" s="18"/>
      <c r="AB17" s="18"/>
      <c r="AC17" s="18"/>
      <c r="AD17" s="18"/>
      <c r="AE17" s="18"/>
    </row>
    <row r="18" spans="1:31" s="19" customFormat="1" ht="17.25" hidden="1" customHeight="1" x14ac:dyDescent="0.25">
      <c r="A18" s="20" t="s">
        <v>28</v>
      </c>
      <c r="B18" s="15" t="s">
        <v>29</v>
      </c>
      <c r="C18" s="58"/>
      <c r="D18" s="16"/>
      <c r="E18" s="16"/>
      <c r="F18" s="17"/>
      <c r="G18" s="16"/>
      <c r="H18" s="16"/>
      <c r="I18" s="16"/>
      <c r="J18" s="16"/>
      <c r="K18" s="16"/>
      <c r="L18" s="16"/>
      <c r="M18" s="16"/>
      <c r="N18" s="16"/>
      <c r="O18" s="16"/>
      <c r="P18" s="16"/>
      <c r="Q18" s="16"/>
      <c r="R18" s="16"/>
      <c r="S18" s="16"/>
      <c r="T18" s="67"/>
      <c r="U18" s="18"/>
      <c r="V18" s="18"/>
      <c r="W18" s="18"/>
      <c r="X18" s="18"/>
      <c r="Y18" s="18"/>
      <c r="Z18" s="18"/>
      <c r="AA18" s="18"/>
      <c r="AB18" s="18"/>
      <c r="AC18" s="18"/>
      <c r="AD18" s="18"/>
      <c r="AE18" s="18"/>
    </row>
    <row r="19" spans="1:31" s="19" customFormat="1" x14ac:dyDescent="0.25">
      <c r="A19" s="20"/>
      <c r="B19" s="53"/>
      <c r="C19" s="58"/>
      <c r="D19" s="28"/>
      <c r="E19" s="28"/>
      <c r="F19" s="28"/>
      <c r="G19" s="62"/>
      <c r="H19" s="62"/>
      <c r="I19" s="62"/>
      <c r="J19" s="62"/>
      <c r="K19" s="62"/>
      <c r="L19" s="62"/>
      <c r="M19" s="28"/>
      <c r="N19" s="28"/>
      <c r="O19" s="28"/>
      <c r="P19" s="28"/>
      <c r="Q19" s="28"/>
      <c r="R19" s="28"/>
      <c r="S19" s="16"/>
      <c r="T19" s="67"/>
      <c r="U19" s="18"/>
      <c r="V19" s="18"/>
      <c r="W19" s="18"/>
      <c r="X19" s="18"/>
      <c r="Y19" s="18"/>
      <c r="Z19" s="18"/>
      <c r="AA19" s="18"/>
      <c r="AB19" s="18"/>
      <c r="AC19" s="18"/>
      <c r="AD19" s="18"/>
    </row>
    <row r="20" spans="1:31" s="19" customFormat="1" x14ac:dyDescent="0.25">
      <c r="A20" s="20" t="s">
        <v>30</v>
      </c>
      <c r="B20" s="15" t="s">
        <v>31</v>
      </c>
      <c r="C20" s="58"/>
      <c r="D20" s="16"/>
      <c r="E20" s="16"/>
      <c r="F20" s="17"/>
      <c r="G20" s="16"/>
      <c r="H20" s="16"/>
      <c r="I20" s="16"/>
      <c r="J20" s="16"/>
      <c r="K20" s="16"/>
      <c r="L20" s="16"/>
      <c r="M20" s="16"/>
      <c r="N20" s="16"/>
      <c r="O20" s="16"/>
      <c r="P20" s="16"/>
      <c r="Q20" s="16"/>
      <c r="R20" s="16"/>
      <c r="S20" s="16"/>
      <c r="T20" s="67"/>
      <c r="U20" s="18"/>
      <c r="V20" s="18"/>
      <c r="W20" s="18"/>
      <c r="X20" s="18"/>
      <c r="Y20" s="18"/>
      <c r="Z20" s="18"/>
      <c r="AA20" s="18"/>
      <c r="AB20" s="18"/>
      <c r="AC20" s="18"/>
      <c r="AD20" s="18"/>
      <c r="AE20" s="18"/>
    </row>
    <row r="21" spans="1:31" s="19" customFormat="1" x14ac:dyDescent="0.25">
      <c r="A21" s="20"/>
      <c r="B21" s="15" t="s">
        <v>23</v>
      </c>
      <c r="C21" s="59"/>
      <c r="D21" s="21"/>
      <c r="E21" s="21"/>
      <c r="F21" s="22"/>
      <c r="G21" s="23"/>
      <c r="H21" s="23"/>
      <c r="I21" s="23"/>
      <c r="J21" s="23"/>
      <c r="K21" s="23"/>
      <c r="L21" s="23"/>
      <c r="M21" s="23"/>
      <c r="N21" s="23"/>
      <c r="O21" s="23"/>
      <c r="P21" s="23"/>
      <c r="Q21" s="21"/>
      <c r="R21" s="21"/>
      <c r="S21" s="21"/>
      <c r="T21" s="67"/>
      <c r="U21" s="18"/>
      <c r="V21" s="18"/>
      <c r="W21" s="18"/>
      <c r="X21" s="18"/>
      <c r="Y21" s="18"/>
      <c r="Z21" s="18"/>
      <c r="AA21" s="18"/>
      <c r="AB21" s="18"/>
      <c r="AC21" s="18"/>
      <c r="AD21" s="18"/>
      <c r="AE21" s="18"/>
    </row>
    <row r="22" spans="1:31" s="26" customFormat="1" x14ac:dyDescent="0.25">
      <c r="A22" s="20"/>
      <c r="B22" s="24" t="s">
        <v>32</v>
      </c>
      <c r="C22" s="60"/>
      <c r="D22" s="63">
        <f>SUM(D19:D21)</f>
        <v>0</v>
      </c>
      <c r="E22" s="63">
        <f t="shared" ref="E22:S22" si="0">SUM(E19:E21)</f>
        <v>0</v>
      </c>
      <c r="F22" s="63">
        <f t="shared" si="0"/>
        <v>0</v>
      </c>
      <c r="G22" s="63">
        <f t="shared" si="0"/>
        <v>0</v>
      </c>
      <c r="H22" s="63">
        <f t="shared" si="0"/>
        <v>0</v>
      </c>
      <c r="I22" s="63">
        <f t="shared" si="0"/>
        <v>0</v>
      </c>
      <c r="J22" s="63">
        <f t="shared" si="0"/>
        <v>0</v>
      </c>
      <c r="K22" s="63">
        <f t="shared" si="0"/>
        <v>0</v>
      </c>
      <c r="L22" s="63">
        <f t="shared" si="0"/>
        <v>0</v>
      </c>
      <c r="M22" s="63">
        <f t="shared" si="0"/>
        <v>0</v>
      </c>
      <c r="N22" s="63">
        <f t="shared" si="0"/>
        <v>0</v>
      </c>
      <c r="O22" s="63">
        <f t="shared" si="0"/>
        <v>0</v>
      </c>
      <c r="P22" s="63">
        <f t="shared" si="0"/>
        <v>0</v>
      </c>
      <c r="Q22" s="63">
        <f t="shared" si="0"/>
        <v>0</v>
      </c>
      <c r="R22" s="63">
        <f t="shared" si="0"/>
        <v>0</v>
      </c>
      <c r="S22" s="63">
        <f t="shared" si="0"/>
        <v>0</v>
      </c>
      <c r="T22" s="71"/>
      <c r="U22" s="25"/>
      <c r="V22" s="25"/>
      <c r="W22" s="25"/>
      <c r="X22" s="25"/>
      <c r="Y22" s="25"/>
      <c r="Z22" s="25"/>
      <c r="AA22" s="25"/>
      <c r="AB22" s="25"/>
      <c r="AC22" s="25"/>
      <c r="AD22" s="25"/>
      <c r="AE22" s="25"/>
    </row>
    <row r="23" spans="1:31" ht="20.45" customHeight="1" x14ac:dyDescent="0.25">
      <c r="A23" s="20" t="s">
        <v>33</v>
      </c>
      <c r="B23" s="10" t="s">
        <v>55</v>
      </c>
      <c r="C23" s="13"/>
      <c r="D23" s="11"/>
      <c r="E23" s="11"/>
      <c r="F23" s="12"/>
      <c r="G23" s="13"/>
      <c r="H23" s="13"/>
      <c r="I23" s="13"/>
      <c r="J23" s="13"/>
      <c r="K23" s="13"/>
      <c r="L23" s="13"/>
      <c r="M23" s="13"/>
      <c r="N23" s="11"/>
      <c r="O23" s="11"/>
      <c r="P23" s="12"/>
      <c r="Q23" s="11"/>
      <c r="R23" s="11"/>
      <c r="S23" s="11"/>
    </row>
    <row r="24" spans="1:31" ht="20.45" customHeight="1" x14ac:dyDescent="0.25">
      <c r="A24" s="49" t="s">
        <v>26</v>
      </c>
      <c r="B24" s="10" t="s">
        <v>27</v>
      </c>
      <c r="C24" s="13"/>
      <c r="D24" s="11"/>
      <c r="E24" s="11"/>
      <c r="F24" s="12"/>
      <c r="G24" s="13"/>
      <c r="H24" s="13"/>
      <c r="I24" s="13"/>
      <c r="J24" s="13"/>
      <c r="K24" s="13"/>
      <c r="L24" s="13"/>
      <c r="M24" s="13"/>
      <c r="N24" s="11"/>
      <c r="O24" s="11"/>
      <c r="P24" s="12"/>
      <c r="Q24" s="11"/>
      <c r="R24" s="11"/>
      <c r="S24" s="11"/>
    </row>
    <row r="25" spans="1:31" ht="21" customHeight="1" x14ac:dyDescent="0.25">
      <c r="A25" s="49" t="s">
        <v>28</v>
      </c>
      <c r="B25" s="27" t="s">
        <v>29</v>
      </c>
      <c r="C25" s="29"/>
      <c r="D25" s="28"/>
      <c r="E25" s="28"/>
      <c r="F25" s="22"/>
      <c r="G25" s="13"/>
      <c r="H25" s="13"/>
      <c r="I25" s="13"/>
      <c r="J25" s="13"/>
      <c r="K25" s="13"/>
      <c r="L25" s="13"/>
      <c r="M25" s="29"/>
      <c r="N25" s="28"/>
      <c r="O25" s="28"/>
      <c r="P25" s="28"/>
      <c r="Q25" s="28"/>
      <c r="R25" s="28"/>
      <c r="S25" s="28"/>
    </row>
    <row r="26" spans="1:31" s="52" customFormat="1" x14ac:dyDescent="0.25">
      <c r="A26" s="20"/>
      <c r="B26" s="53"/>
      <c r="C26" s="29"/>
      <c r="D26" s="54"/>
      <c r="E26" s="54"/>
      <c r="F26" s="28"/>
      <c r="G26" s="29"/>
      <c r="H26" s="29"/>
      <c r="I26" s="29"/>
      <c r="J26" s="29"/>
      <c r="K26" s="29"/>
      <c r="L26" s="29"/>
      <c r="M26" s="29"/>
      <c r="N26" s="54"/>
      <c r="O26" s="54"/>
      <c r="P26" s="54"/>
      <c r="Q26" s="54"/>
      <c r="R26" s="54"/>
      <c r="S26" s="54"/>
      <c r="T26" s="67"/>
      <c r="U26" s="51"/>
      <c r="V26" s="51"/>
      <c r="W26" s="51"/>
      <c r="X26" s="51"/>
      <c r="Y26" s="51"/>
      <c r="Z26" s="51"/>
      <c r="AA26" s="51"/>
      <c r="AB26" s="51"/>
      <c r="AC26" s="51"/>
      <c r="AD26" s="51"/>
      <c r="AE26" s="51"/>
    </row>
    <row r="27" spans="1:31" s="52" customFormat="1" x14ac:dyDescent="0.25">
      <c r="A27" s="20"/>
      <c r="B27" s="53"/>
      <c r="C27" s="29"/>
      <c r="D27" s="54"/>
      <c r="E27" s="54"/>
      <c r="F27" s="28"/>
      <c r="G27" s="29"/>
      <c r="H27" s="29"/>
      <c r="I27" s="29"/>
      <c r="J27" s="29"/>
      <c r="K27" s="29"/>
      <c r="L27" s="29"/>
      <c r="M27" s="29"/>
      <c r="N27" s="54"/>
      <c r="O27" s="54"/>
      <c r="P27" s="54"/>
      <c r="Q27" s="54"/>
      <c r="R27" s="54"/>
      <c r="S27" s="54"/>
      <c r="T27" s="67"/>
      <c r="U27" s="51"/>
      <c r="V27" s="51"/>
      <c r="W27" s="51"/>
      <c r="X27" s="51"/>
      <c r="Y27" s="51"/>
      <c r="Z27" s="51"/>
      <c r="AA27" s="51"/>
      <c r="AB27" s="51"/>
      <c r="AC27" s="51"/>
      <c r="AD27" s="51"/>
      <c r="AE27" s="51"/>
    </row>
    <row r="28" spans="1:31" s="52" customFormat="1" x14ac:dyDescent="0.25">
      <c r="A28" s="20"/>
      <c r="B28" s="53"/>
      <c r="C28" s="29"/>
      <c r="D28" s="54"/>
      <c r="E28" s="54"/>
      <c r="F28" s="28"/>
      <c r="G28" s="29"/>
      <c r="H28" s="29"/>
      <c r="I28" s="29"/>
      <c r="J28" s="29"/>
      <c r="K28" s="29"/>
      <c r="L28" s="29"/>
      <c r="M28" s="29"/>
      <c r="N28" s="54"/>
      <c r="O28" s="54"/>
      <c r="P28" s="54"/>
      <c r="Q28" s="54"/>
      <c r="R28" s="54"/>
      <c r="S28" s="54"/>
      <c r="T28" s="67"/>
      <c r="U28" s="51"/>
      <c r="V28" s="51"/>
      <c r="W28" s="51"/>
      <c r="X28" s="51"/>
      <c r="Y28" s="51"/>
      <c r="Z28" s="51"/>
      <c r="AA28" s="51"/>
      <c r="AB28" s="51"/>
      <c r="AC28" s="51"/>
      <c r="AD28" s="51"/>
      <c r="AE28" s="51"/>
    </row>
    <row r="29" spans="1:31" s="37" customFormat="1" ht="21" customHeight="1" x14ac:dyDescent="0.25">
      <c r="A29" s="30" t="s">
        <v>30</v>
      </c>
      <c r="B29" s="31" t="s">
        <v>31</v>
      </c>
      <c r="C29" s="35"/>
      <c r="D29" s="32"/>
      <c r="E29" s="32"/>
      <c r="F29" s="33"/>
      <c r="G29" s="34"/>
      <c r="H29" s="34"/>
      <c r="I29" s="34"/>
      <c r="J29" s="34"/>
      <c r="K29" s="34"/>
      <c r="L29" s="34"/>
      <c r="M29" s="35"/>
      <c r="N29" s="32"/>
      <c r="O29" s="32"/>
      <c r="P29" s="36"/>
      <c r="Q29" s="32"/>
      <c r="R29" s="32"/>
      <c r="S29" s="32"/>
      <c r="T29" s="72"/>
      <c r="U29" s="1"/>
      <c r="V29" s="1"/>
      <c r="W29" s="1"/>
      <c r="X29" s="1"/>
      <c r="Y29" s="1"/>
      <c r="Z29" s="1"/>
      <c r="AA29" s="1"/>
      <c r="AB29" s="1"/>
      <c r="AC29" s="1"/>
      <c r="AD29" s="1"/>
      <c r="AE29" s="1"/>
    </row>
    <row r="30" spans="1:31" s="37" customFormat="1" ht="16.5" x14ac:dyDescent="0.25">
      <c r="A30" s="38"/>
      <c r="B30" s="39"/>
      <c r="C30" s="35"/>
      <c r="D30" s="32"/>
      <c r="E30" s="32"/>
      <c r="F30" s="33"/>
      <c r="G30" s="34"/>
      <c r="H30" s="34"/>
      <c r="I30" s="34"/>
      <c r="J30" s="34"/>
      <c r="K30" s="34"/>
      <c r="L30" s="34"/>
      <c r="M30" s="35"/>
      <c r="N30" s="32"/>
      <c r="O30" s="32"/>
      <c r="P30" s="36"/>
      <c r="Q30" s="32"/>
      <c r="R30" s="32"/>
      <c r="S30" s="32"/>
      <c r="T30" s="72"/>
      <c r="U30" s="1"/>
      <c r="V30" s="1"/>
      <c r="W30" s="1"/>
      <c r="X30" s="1"/>
      <c r="Y30" s="1"/>
      <c r="Z30" s="1"/>
      <c r="AA30" s="1"/>
      <c r="AB30" s="1"/>
      <c r="AC30" s="1"/>
      <c r="AD30" s="1"/>
      <c r="AE30" s="1"/>
    </row>
    <row r="31" spans="1:31" s="43" customFormat="1" ht="25.5" customHeight="1" x14ac:dyDescent="0.25">
      <c r="A31" s="29"/>
      <c r="B31" s="40" t="s">
        <v>34</v>
      </c>
      <c r="C31" s="61"/>
      <c r="D31" s="41">
        <f>SUM(D25:D30)</f>
        <v>0</v>
      </c>
      <c r="E31" s="41">
        <f>SUM(E25:E30)</f>
        <v>0</v>
      </c>
      <c r="F31" s="41"/>
      <c r="G31" s="41"/>
      <c r="H31" s="41"/>
      <c r="I31" s="41"/>
      <c r="J31" s="41"/>
      <c r="K31" s="41"/>
      <c r="L31" s="41"/>
      <c r="M31" s="41">
        <f t="shared" ref="M31:S31" si="1">SUM(M25:M30)</f>
        <v>0</v>
      </c>
      <c r="N31" s="41">
        <f t="shared" si="1"/>
        <v>0</v>
      </c>
      <c r="O31" s="41">
        <f t="shared" si="1"/>
        <v>0</v>
      </c>
      <c r="P31" s="41">
        <f t="shared" si="1"/>
        <v>0</v>
      </c>
      <c r="Q31" s="41">
        <f t="shared" si="1"/>
        <v>0</v>
      </c>
      <c r="R31" s="41">
        <f t="shared" si="1"/>
        <v>0</v>
      </c>
      <c r="S31" s="41">
        <f t="shared" si="1"/>
        <v>0</v>
      </c>
      <c r="T31" s="71"/>
      <c r="U31" s="42"/>
      <c r="V31" s="42"/>
      <c r="W31" s="42"/>
      <c r="X31" s="42"/>
      <c r="Y31" s="42"/>
      <c r="Z31" s="42"/>
      <c r="AA31" s="42"/>
      <c r="AB31" s="42"/>
      <c r="AC31" s="42"/>
      <c r="AD31" s="42"/>
      <c r="AE31" s="42"/>
    </row>
    <row r="32" spans="1:31" s="43" customFormat="1" ht="25.5" customHeight="1" x14ac:dyDescent="0.25">
      <c r="A32" s="29"/>
      <c r="B32" s="40" t="s">
        <v>35</v>
      </c>
      <c r="C32" s="61"/>
      <c r="D32" s="41">
        <f t="shared" ref="D32:S32" si="2">D14+D22+D31</f>
        <v>0</v>
      </c>
      <c r="E32" s="41">
        <f t="shared" si="2"/>
        <v>0</v>
      </c>
      <c r="F32" s="41">
        <f t="shared" si="2"/>
        <v>0</v>
      </c>
      <c r="G32" s="41">
        <f t="shared" si="2"/>
        <v>0</v>
      </c>
      <c r="H32" s="41">
        <f t="shared" si="2"/>
        <v>0</v>
      </c>
      <c r="I32" s="41">
        <f t="shared" si="2"/>
        <v>0</v>
      </c>
      <c r="J32" s="41">
        <f t="shared" si="2"/>
        <v>0</v>
      </c>
      <c r="K32" s="41">
        <f t="shared" si="2"/>
        <v>0</v>
      </c>
      <c r="L32" s="41">
        <f t="shared" si="2"/>
        <v>0</v>
      </c>
      <c r="M32" s="41">
        <f t="shared" si="2"/>
        <v>0</v>
      </c>
      <c r="N32" s="41">
        <f t="shared" si="2"/>
        <v>0</v>
      </c>
      <c r="O32" s="41">
        <f t="shared" si="2"/>
        <v>0</v>
      </c>
      <c r="P32" s="41">
        <f t="shared" si="2"/>
        <v>0</v>
      </c>
      <c r="Q32" s="41">
        <f t="shared" si="2"/>
        <v>0</v>
      </c>
      <c r="R32" s="41">
        <f t="shared" si="2"/>
        <v>0</v>
      </c>
      <c r="S32" s="41">
        <f t="shared" si="2"/>
        <v>0</v>
      </c>
      <c r="T32" s="71"/>
      <c r="U32" s="42"/>
      <c r="V32" s="42"/>
      <c r="W32" s="42"/>
      <c r="X32" s="42"/>
      <c r="Y32" s="42"/>
      <c r="Z32" s="42"/>
      <c r="AA32" s="42"/>
      <c r="AB32" s="42"/>
      <c r="AC32" s="42"/>
      <c r="AD32" s="42"/>
      <c r="AE32" s="42"/>
    </row>
    <row r="33" spans="1:31" s="43" customFormat="1" x14ac:dyDescent="0.25">
      <c r="A33" s="51"/>
      <c r="B33" s="44"/>
      <c r="C33" s="42"/>
      <c r="D33" s="45"/>
      <c r="E33" s="45"/>
      <c r="F33" s="45"/>
      <c r="G33" s="45"/>
      <c r="H33" s="45"/>
      <c r="I33" s="45"/>
      <c r="J33" s="45"/>
      <c r="K33" s="45"/>
      <c r="L33" s="45"/>
      <c r="M33" s="45"/>
      <c r="N33" s="45"/>
      <c r="O33" s="45"/>
      <c r="P33" s="45"/>
      <c r="Q33" s="45"/>
      <c r="R33" s="45"/>
      <c r="S33" s="45"/>
      <c r="T33" s="71"/>
      <c r="U33" s="42"/>
      <c r="V33" s="42"/>
      <c r="W33" s="42"/>
      <c r="X33" s="42"/>
      <c r="Y33" s="42"/>
      <c r="Z33" s="42"/>
      <c r="AA33" s="42"/>
      <c r="AB33" s="42"/>
      <c r="AC33" s="42"/>
      <c r="AD33" s="42"/>
      <c r="AE33" s="42"/>
    </row>
    <row r="34" spans="1:31" s="43" customFormat="1" x14ac:dyDescent="0.25">
      <c r="A34" s="51"/>
      <c r="B34" s="44"/>
      <c r="C34" s="42"/>
      <c r="D34" s="45"/>
      <c r="E34" s="45"/>
      <c r="F34" s="45"/>
      <c r="G34" s="45"/>
      <c r="H34" s="45"/>
      <c r="I34" s="45"/>
      <c r="J34" s="45"/>
      <c r="K34" s="45"/>
      <c r="L34" s="45"/>
      <c r="M34" s="45"/>
      <c r="N34" s="45"/>
      <c r="O34" s="45"/>
      <c r="P34" s="45"/>
      <c r="Q34" s="45"/>
      <c r="R34" s="45"/>
      <c r="S34" s="45"/>
      <c r="T34" s="71"/>
      <c r="U34" s="42"/>
      <c r="V34" s="42"/>
      <c r="W34" s="42"/>
      <c r="X34" s="42"/>
      <c r="Y34" s="42"/>
      <c r="Z34" s="42"/>
      <c r="AA34" s="42"/>
      <c r="AB34" s="42"/>
      <c r="AC34" s="42"/>
      <c r="AD34" s="42"/>
      <c r="AE34" s="42"/>
    </row>
    <row r="35" spans="1:31" s="46" customFormat="1" ht="21.75" customHeight="1" x14ac:dyDescent="0.3">
      <c r="A35" s="56"/>
      <c r="B35" s="105" t="s">
        <v>85</v>
      </c>
      <c r="C35" s="105"/>
      <c r="F35" s="47"/>
      <c r="L35" s="99" t="s">
        <v>80</v>
      </c>
      <c r="M35" s="99"/>
      <c r="N35" s="99"/>
      <c r="O35" s="99"/>
      <c r="P35" s="99"/>
      <c r="Q35" s="99"/>
      <c r="R35" s="99"/>
      <c r="S35" s="99"/>
      <c r="T35" s="73"/>
    </row>
    <row r="36" spans="1:31" x14ac:dyDescent="0.25">
      <c r="A36" s="52"/>
      <c r="C36" s="5"/>
      <c r="D36" s="5"/>
      <c r="E36" s="5"/>
      <c r="F36" s="48"/>
      <c r="G36" s="5"/>
      <c r="H36" s="5"/>
      <c r="I36" s="5"/>
      <c r="J36" s="5"/>
      <c r="K36" s="5"/>
      <c r="L36" s="5"/>
      <c r="M36" s="5"/>
      <c r="N36" s="5"/>
      <c r="O36" s="5"/>
      <c r="P36" s="5"/>
      <c r="Q36" s="5"/>
      <c r="R36" s="5"/>
      <c r="S36" s="5"/>
      <c r="T36" s="68"/>
      <c r="U36" s="5"/>
      <c r="V36" s="5"/>
      <c r="W36" s="5"/>
      <c r="X36" s="5"/>
      <c r="Y36" s="5"/>
      <c r="Z36" s="5"/>
      <c r="AA36" s="5"/>
      <c r="AB36" s="5"/>
      <c r="AC36" s="5"/>
      <c r="AD36" s="5"/>
      <c r="AE36" s="5"/>
    </row>
    <row r="38" spans="1:31" x14ac:dyDescent="0.25">
      <c r="A38" s="52"/>
      <c r="C38" s="5"/>
      <c r="D38" s="5"/>
      <c r="E38" s="5"/>
      <c r="F38" s="48"/>
      <c r="G38" s="5"/>
      <c r="H38" s="5"/>
      <c r="I38" s="5"/>
      <c r="J38" s="5"/>
      <c r="K38" s="5"/>
      <c r="L38" s="5"/>
      <c r="M38" s="5"/>
      <c r="N38" s="5"/>
      <c r="O38" s="5"/>
      <c r="P38" s="5"/>
      <c r="Q38" s="5"/>
      <c r="R38" s="5"/>
      <c r="S38" s="5"/>
      <c r="T38" s="68"/>
      <c r="U38" s="5"/>
      <c r="V38" s="5"/>
      <c r="W38" s="5"/>
      <c r="X38" s="5"/>
      <c r="Y38" s="5"/>
      <c r="Z38" s="5"/>
      <c r="AA38" s="5"/>
      <c r="AB38" s="5"/>
      <c r="AC38" s="5"/>
      <c r="AD38" s="5"/>
      <c r="AE38" s="5"/>
    </row>
    <row r="40" spans="1:31" s="43" customFormat="1" ht="15.75" customHeight="1" x14ac:dyDescent="0.25">
      <c r="A40" s="74"/>
      <c r="B40" s="95" t="s">
        <v>77</v>
      </c>
      <c r="C40" s="95"/>
      <c r="D40" s="75"/>
      <c r="E40" s="75"/>
      <c r="F40" s="76"/>
      <c r="G40" s="42"/>
      <c r="H40" s="42"/>
      <c r="I40" s="42"/>
      <c r="J40" s="42"/>
      <c r="K40" s="42"/>
      <c r="L40" s="96" t="s">
        <v>81</v>
      </c>
      <c r="M40" s="96"/>
      <c r="N40" s="96"/>
      <c r="O40" s="96"/>
      <c r="P40" s="96"/>
      <c r="Q40" s="96"/>
      <c r="R40" s="96"/>
      <c r="S40" s="96"/>
      <c r="T40" s="71"/>
      <c r="U40" s="42"/>
      <c r="V40" s="42"/>
      <c r="W40" s="42"/>
      <c r="X40" s="42"/>
      <c r="Y40" s="42"/>
      <c r="Z40" s="42"/>
      <c r="AA40" s="42"/>
      <c r="AB40" s="42"/>
      <c r="AC40" s="42"/>
      <c r="AD40" s="42"/>
      <c r="AE40" s="42"/>
    </row>
  </sheetData>
  <mergeCells count="23">
    <mergeCell ref="I10:I11"/>
    <mergeCell ref="B35:C35"/>
    <mergeCell ref="A1:B1"/>
    <mergeCell ref="R1:S1"/>
    <mergeCell ref="A2:B2"/>
    <mergeCell ref="A3:S3"/>
    <mergeCell ref="R4:S4"/>
    <mergeCell ref="B40:C40"/>
    <mergeCell ref="L40:S40"/>
    <mergeCell ref="A4:C4"/>
    <mergeCell ref="A5:C5"/>
    <mergeCell ref="J10:L10"/>
    <mergeCell ref="M10:O10"/>
    <mergeCell ref="P10:R10"/>
    <mergeCell ref="L35:S35"/>
    <mergeCell ref="A6:S6"/>
    <mergeCell ref="A7:S7"/>
    <mergeCell ref="A8:S8"/>
    <mergeCell ref="Q9:S9"/>
    <mergeCell ref="A10:A11"/>
    <mergeCell ref="B10:B11"/>
    <mergeCell ref="C10:C11"/>
    <mergeCell ref="D10:H10"/>
  </mergeCells>
  <pageMargins left="0.17" right="0.17" top="0.39" bottom="0.75" header="0.3" footer="0.3"/>
  <pageSetup paperSize="9"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Trước kỳ</vt:lpstr>
      <vt:lpstr>Trong kỳ báo cáo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Thi Yen (Phong QLTS - XDCB - HO)</dc:creator>
  <cp:lastModifiedBy>Quang Mai Đức</cp:lastModifiedBy>
  <cp:lastPrinted>2026-10-05T02:20:48Z</cp:lastPrinted>
  <dcterms:created xsi:type="dcterms:W3CDTF">2024-04-16T04:24:41Z</dcterms:created>
  <dcterms:modified xsi:type="dcterms:W3CDTF">2026-10-06T09:16:59Z</dcterms:modified>
</cp:coreProperties>
</file>